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d9819d44fd4417" /></Relationships>
</file>

<file path=xl/workbook.xml><?xml version="1.0" encoding="utf-8"?>
<x:workbook xmlns:x="http://schemas.openxmlformats.org/spreadsheetml/2006/main">
  <x:sheets>
    <x:sheet xmlns:r="http://schemas.openxmlformats.org/officeDocument/2006/relationships" name="Brief" sheetId="1" r:id="Rdfa2499d66de4b7f"/>
    <x:sheet xmlns:r="http://schemas.openxmlformats.org/officeDocument/2006/relationships" name="Element Constants" sheetId="2" r:id="Rfacbdb12020c42b3"/>
    <x:sheet xmlns:r="http://schemas.openxmlformats.org/officeDocument/2006/relationships" name="Stage 1 - Reason" sheetId="3" r:id="Rdcd300d83b0b4d20"/>
    <x:sheet xmlns:r="http://schemas.openxmlformats.org/officeDocument/2006/relationships" name="Stage 2 - ML Reveal" sheetId="4" r:id="R073256b5ac5b4f0a"/>
    <x:sheet xmlns:r="http://schemas.openxmlformats.org/officeDocument/2006/relationships" name="Stage 3 - Experiment" sheetId="5" r:id="Rd73e50bc1a104a60"/>
    <x:sheet xmlns:r="http://schemas.openxmlformats.org/officeDocument/2006/relationships" name="Sources &amp; Notes" sheetId="6" r:id="R5e568e8fe6b749c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0"/>
  </x:numFmts>
  <x:fonts count="6">
    <x:font>
      <x:sz val="11"/>
      <x:name val="Carlito"/>
    </x:font>
    <x:font>
      <x:sz val="10"/>
      <x:name val="Aptos"/>
    </x:font>
    <x:font>
      <x:b/>
      <x:sz val="16"/>
      <x:color rgb="FFFFFFFF"/>
      <x:name val="Aptos"/>
    </x:font>
    <x:font>
      <x:sz val="10"/>
      <x:color rgb="FF1F1F1F"/>
      <x:name val="Aptos"/>
    </x:font>
    <x:font>
      <x:b/>
      <x:sz val="10"/>
      <x:color rgb="FFFFFFFF"/>
      <x:name val="Aptos"/>
    </x:font>
    <x:font>
      <x:b/>
      <x:sz val="10"/>
      <x:color rgb="FF1F1F1F"/>
      <x:name val="Aptos"/>
    </x:font>
  </x:fonts>
  <x:fills count="7">
    <x:fill>
      <x:patternFill patternType="none"/>
    </x:fill>
    <x:fill>
      <x:patternFill patternType="gray125"/>
    </x:fill>
    <x:fill>
      <x:patternFill patternType="solid">
        <x:fgColor rgb="FF17365D"/>
      </x:patternFill>
    </x:fill>
    <x:fill>
      <x:patternFill patternType="solid">
        <x:fgColor rgb="FFF4F7FA"/>
      </x:patternFill>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1"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1"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1"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vertical="center"/>
    </x:xf>
    <x:xf numFmtId="0" fontId="1"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1"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200" fontId="1" fillId="0" borderId="0" xfId="0" applyNumberFormat="1" applyFont="1" applyFill="1" applyBorder="1"/>
    <x:xf numFmtId="200" fontId="1" fillId="0" borderId="1" xfId="0" applyNumberFormat="1" applyFont="1" applyFill="1" applyBorder="1"/>
    <x:xf numFmtId="201" fontId="1" fillId="0" borderId="0" xfId="0" applyNumberFormat="1" applyFont="1" applyFill="1" applyBorder="1" applyAlignment="1">
      <x:alignment wrapText="1"/>
    </x:xf>
    <x:xf numFmtId="201" fontId="1" fillId="0" borderId="1" xfId="0" applyNumberFormat="1" applyFont="1" applyFill="1" applyBorder="1" applyAlignment="1">
      <x:alignment wrapText="1"/>
    </x:xf>
  </x:cellXfs>
  <x:cellStyles count="1">
    <x:cellStyle name="Normal" xfId="0"/>
  </x:cellStyles>
  <x:dxfs count="6">
    <x:dxf>
      <x:font>
        <x:b/>
      </x:font>
      <x:fill>
        <x:patternFill patternType="solid">
          <x:bgColor rgb="FFE2F0D9"/>
        </x:patternFill>
      </x:fill>
    </x:dxf>
    <x:dxf>
      <x:fill>
        <x:patternFill patternType="solid">
          <x:bgColor rgb="FFFCE4D6"/>
        </x:patternFill>
      </x:fill>
    </x:dxf>
    <x:dxf>
      <x:font>
        <x:b/>
      </x:font>
      <x:fill>
        <x:patternFill patternType="solid">
          <x:bgColor rgb="FFE2F0D9"/>
        </x:patternFill>
      </x:fill>
    </x:dxf>
    <x:dxf>
      <x:fill>
        <x:patternFill patternType="solid">
          <x:bgColor rgb="FFFCE4D6"/>
        </x:patternFill>
      </x:fill>
    </x:dxf>
    <x:dxf>
      <x:font>
        <x:b/>
      </x:font>
      <x:fill>
        <x:patternFill patternType="solid">
          <x:bgColor rgb="FFFCE4D6"/>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dd86b8a1d64c7e" /><Relationship Type="http://schemas.openxmlformats.org/officeDocument/2006/relationships/theme" Target="/xl/theme/theme1.xml" Id="Rac312cc91f7e4465" /><Relationship Type="http://schemas.openxmlformats.org/officeDocument/2006/relationships/sharedStrings" Target="/xl/sharedStrings.xml" Id="Rfd89cc5594cc4702" /><Relationship Type="http://schemas.openxmlformats.org/officeDocument/2006/relationships/worksheet" Target="/xl/worksheets/sheet1.xml" Id="Rdfa2499d66de4b7f" /><Relationship Type="http://schemas.openxmlformats.org/officeDocument/2006/relationships/worksheet" Target="/xl/worksheets/sheet2.xml" Id="Rfacbdb12020c42b3" /><Relationship Type="http://schemas.openxmlformats.org/officeDocument/2006/relationships/worksheet" Target="/xl/worksheets/sheet3.xml" Id="Rdcd300d83b0b4d20" /><Relationship Type="http://schemas.openxmlformats.org/officeDocument/2006/relationships/worksheet" Target="/xl/worksheets/sheet4.xml" Id="R073256b5ac5b4f0a" /><Relationship Type="http://schemas.openxmlformats.org/officeDocument/2006/relationships/worksheet" Target="/xl/worksheets/sheet5.xml" Id="Rd73e50bc1a104a60" /><Relationship Type="http://schemas.openxmlformats.org/officeDocument/2006/relationships/worksheet" Target="/xl/worksheets/sheet6.xml" Id="R5e568e8fe6b749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34" hidden="0" customWidth="1"/>
    <x:col min="3" max="3" width="64" hidden="0" customWidth="1"/>
  </x:cols>
  <x:sheetData>
    <x:row r="1">
      <x:c r="A1" s="7" t="str">
        <x:v>Data-driven materials selection: Al–Co–Cr–Cu–Fe–Ni hardness</x:v>
      </x:c>
      <x:c r="B1" s="7"/>
      <x:c r="C1" s="7"/>
      <x:c r="D1" s="7"/>
      <x:c r="E1" s="7"/>
      <x:c r="F1" s="7"/>
      <x:c r="G1" s="7"/>
      <x:c r="H1" s="7"/>
      <x:c r="I1" s="2"/>
      <x:c r="J1" s="2"/>
      <x:c r="K1" s="2"/>
      <x:c r="L1" s="2"/>
      <x:c r="M1" s="2"/>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15" t="str">
        <x:v>Design brief: Select an as-cast alloy for a compact contact insert in which resistance to local permanent indentation is important. The initial target is hardness ≥ 450 HV. Lower density and lower raw-material cost are preferred, but no single weighting is imposed.</x:v>
      </x:c>
      <x:c r="B3" s="15"/>
      <x:c r="C3" s="15"/>
      <x:c r="D3" s="15"/>
      <x:c r="E3" s="15"/>
      <x:c r="F3" s="15"/>
      <x:c r="G3" s="15"/>
      <x:c r="H3" s="15"/>
      <x:c r="I3" s="2"/>
      <x:c r="J3" s="2"/>
      <x:c r="K3" s="2"/>
      <x:c r="L3" s="2"/>
      <x:c r="M3" s="2"/>
      <x:c r="N3" s="2"/>
      <x:c r="O3" s="2"/>
      <x:c r="P3" s="2"/>
      <x:c r="Q3" s="2"/>
      <x:c r="R3" s="2"/>
      <x:c r="S3" s="2"/>
      <x:c r="T3" s="2"/>
      <x:c r="U3" s="2"/>
      <x:c r="V3" s="2"/>
      <x:c r="W3" s="2"/>
      <x:c r="X3" s="2"/>
      <x:c r="Y3" s="2"/>
      <x:c r="Z3" s="2"/>
    </x:row>
    <x:row r="4">
      <x:c r="A4" s="15"/>
      <x:c r="B4" s="15"/>
      <x:c r="C4" s="15"/>
      <x:c r="D4" s="15"/>
      <x:c r="E4" s="15"/>
      <x:c r="F4" s="15"/>
      <x:c r="G4" s="15"/>
      <x:c r="H4" s="15"/>
      <x:c r="I4" s="2"/>
      <x:c r="J4" s="2"/>
      <x:c r="K4" s="2"/>
      <x:c r="L4" s="2"/>
      <x:c r="M4" s="2"/>
      <x:c r="N4" s="2"/>
      <x:c r="O4" s="2"/>
      <x:c r="P4" s="2"/>
      <x:c r="Q4" s="2"/>
      <x:c r="R4" s="2"/>
      <x:c r="S4" s="2"/>
      <x:c r="T4" s="2"/>
      <x:c r="U4" s="2"/>
      <x:c r="V4" s="2"/>
      <x:c r="W4" s="2"/>
      <x:c r="X4" s="2"/>
      <x:c r="Y4" s="2"/>
      <x:c r="Z4" s="2"/>
    </x:row>
    <x:row r="5">
      <x:c r="A5" s="15"/>
      <x:c r="B5" s="15"/>
      <x:c r="C5" s="15"/>
      <x:c r="D5" s="15"/>
      <x:c r="E5" s="15"/>
      <x:c r="F5" s="15"/>
      <x:c r="G5" s="15"/>
      <x:c r="H5" s="15"/>
      <x:c r="I5" s="2"/>
      <x:c r="J5" s="2"/>
      <x:c r="K5" s="2"/>
      <x:c r="L5" s="2"/>
      <x:c r="M5" s="2"/>
      <x:c r="N5" s="2"/>
      <x:c r="O5" s="2"/>
      <x:c r="P5" s="2"/>
      <x:c r="Q5" s="2"/>
      <x:c r="R5" s="2"/>
      <x:c r="S5" s="2"/>
      <x:c r="T5" s="2"/>
      <x:c r="U5" s="2"/>
      <x:c r="V5" s="2"/>
      <x:c r="W5" s="2"/>
      <x:c r="X5" s="2"/>
      <x:c r="Y5" s="2"/>
      <x:c r="Z5" s="2"/>
    </x:row>
    <x:row r="6">
      <x:c r="A6" s="2"/>
      <x:c r="B6" s="2"/>
      <x:c r="C6" s="2"/>
      <x:c r="D6" s="2"/>
      <x:c r="E6" s="2"/>
      <x:c r="F6" s="2"/>
      <x:c r="G6" s="2"/>
      <x:c r="H6" s="2"/>
      <x:c r="I6" s="2"/>
      <x:c r="J6" s="2"/>
      <x:c r="K6" s="2"/>
      <x:c r="L6" s="2"/>
      <x:c r="M6" s="2"/>
      <x:c r="N6" s="2"/>
      <x:c r="O6" s="2"/>
      <x:c r="P6" s="2"/>
      <x:c r="Q6" s="2"/>
      <x:c r="R6" s="2"/>
      <x:c r="S6" s="2"/>
      <x:c r="T6" s="2"/>
      <x:c r="U6" s="2"/>
      <x:c r="V6" s="2"/>
      <x:c r="W6" s="2"/>
      <x:c r="X6" s="2"/>
      <x:c r="Y6" s="2"/>
      <x:c r="Z6" s="2"/>
    </x:row>
    <x:row r="7">
      <x:c r="A7" s="24" t="str">
        <x:v>Stage</x:v>
      </x:c>
      <x:c r="B7" s="24" t="str">
        <x:v>What students do</x:v>
      </x:c>
      <x:c r="C7" s="2"/>
      <x:c r="D7" s="2"/>
      <x:c r="E7" s="2"/>
      <x:c r="F7" s="2"/>
      <x:c r="G7" s="2"/>
      <x:c r="H7" s="2"/>
      <x:c r="I7" s="2"/>
      <x:c r="J7" s="2"/>
      <x:c r="K7" s="2"/>
      <x:c r="L7" s="2"/>
      <x:c r="M7" s="2"/>
      <x:c r="N7" s="2"/>
      <x:c r="O7" s="2"/>
      <x:c r="P7" s="2"/>
      <x:c r="Q7" s="2"/>
      <x:c r="R7" s="2"/>
      <x:c r="S7" s="2"/>
      <x:c r="T7" s="2"/>
      <x:c r="U7" s="2"/>
      <x:c r="V7" s="2"/>
      <x:c r="W7" s="2"/>
      <x:c r="X7" s="2"/>
      <x:c r="Y7" s="2"/>
      <x:c r="Z7" s="2"/>
    </x:row>
    <x:row r="8">
      <x:c r="A8" s="30" t="str">
        <x:v>1 — Physical reasoning</x:v>
      </x:c>
      <x:c r="B8" s="30" t="str">
        <x:v>Inspect the 15 compositions. For at least 3 assigned candidates calculate VEC, atomic-size mismatch δ, and ideal mixture density. Predict which should resist plastic deformation more strongly and justify why.</x:v>
      </x:c>
      <x:c r="C8" s="2"/>
      <x:c r="D8" s="2"/>
      <x:c r="E8" s="2"/>
      <x:c r="F8" s="2"/>
      <x:c r="G8" s="2"/>
      <x:c r="H8" s="2"/>
      <x:c r="I8" s="2"/>
      <x:c r="J8" s="2"/>
      <x:c r="K8" s="2"/>
      <x:c r="L8" s="2"/>
      <x:c r="M8" s="2"/>
      <x:c r="N8" s="2"/>
      <x:c r="O8" s="2"/>
      <x:c r="P8" s="2"/>
      <x:c r="Q8" s="2"/>
      <x:c r="R8" s="2"/>
      <x:c r="S8" s="2"/>
      <x:c r="T8" s="2"/>
      <x:c r="U8" s="2"/>
      <x:c r="V8" s="2"/>
      <x:c r="W8" s="2"/>
      <x:c r="X8" s="2"/>
      <x:c r="Y8" s="2"/>
      <x:c r="Z8" s="2"/>
    </x:row>
    <x:row r="9">
      <x:c r="A9" s="30" t="str">
        <x:v>2 — ML reveal</x:v>
      </x:c>
      <x:c r="B9" s="30" t="str">
        <x:v>Use the trained composition→hardness model. Apply the ≥450 HV screen, compare specific hardness (HV/ρ) and the relative cost index, then make an ML-informed shortlist.</x:v>
      </x:c>
      <x:c r="C9" s="2"/>
      <x:c r="D9" s="2"/>
      <x:c r="E9" s="2"/>
      <x:c r="F9" s="2"/>
      <x:c r="G9" s="2"/>
      <x:c r="H9" s="2"/>
      <x:c r="I9" s="2"/>
      <x:c r="J9" s="2"/>
      <x:c r="K9" s="2"/>
      <x:c r="L9" s="2"/>
      <x:c r="M9" s="2"/>
      <x:c r="N9" s="2"/>
      <x:c r="O9" s="2"/>
      <x:c r="P9" s="2"/>
      <x:c r="Q9" s="2"/>
      <x:c r="R9" s="2"/>
      <x:c r="S9" s="2"/>
      <x:c r="T9" s="2"/>
      <x:c r="U9" s="2"/>
      <x:c r="V9" s="2"/>
      <x:c r="W9" s="2"/>
      <x:c r="X9" s="2"/>
      <x:c r="Y9" s="2"/>
      <x:c r="Z9" s="2"/>
    </x:row>
    <x:row r="10">
      <x:c r="A10" s="30" t="str">
        <x:v>3 — Experimental reveal</x:v>
      </x:c>
      <x:c r="B10" s="30" t="str">
        <x:v>Compare ML predictions with measured Vickers hardness. Identify false passes/fails and quantify prediction error.</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30" t="str">
        <x:v>4 — Final recommendation</x:v>
      </x:c>
      <x:c r="B11" s="30" t="str">
        <x:v>Recommend one alloy. The answer may differ between groups if the trade-off between hardness, mass and cost is justified.</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34" t="str">
        <x:v>Equations used in Stage 1</x:v>
      </x:c>
      <x:c r="B13" s="34"/>
      <x:c r="C13" s="34"/>
      <x:c r="D13" s="34"/>
      <x:c r="E13" s="34"/>
      <x:c r="F13" s="34"/>
      <x:c r="G13" s="34"/>
      <x:c r="H13" s="34"/>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4" t="str">
        <x:v>Quantity</x:v>
      </x:c>
      <x:c r="B15" s="24" t="str">
        <x:v>Equation</x:v>
      </x:c>
      <x:c r="C15" s="24" t="str">
        <x:v>How it is used</x:v>
      </x:c>
      <x:c r="D15" s="2"/>
      <x:c r="E15" s="2"/>
      <x:c r="F15" s="2"/>
      <x:c r="G15" s="2"/>
      <x:c r="H15" s="2"/>
      <x:c r="I15" s="2"/>
      <x:c r="J15" s="2"/>
      <x:c r="K15" s="2"/>
      <x:c r="L15" s="2"/>
      <x:c r="M15" s="2"/>
      <x:c r="N15" s="2"/>
      <x:c r="O15" s="2"/>
      <x:c r="P15" s="2"/>
      <x:c r="Q15" s="2"/>
      <x:c r="R15" s="2"/>
      <x:c r="S15" s="2"/>
      <x:c r="T15" s="2"/>
      <x:c r="U15" s="2"/>
      <x:c r="V15" s="2"/>
      <x:c r="W15" s="2"/>
      <x:c r="X15" s="2"/>
      <x:c r="Y15" s="2"/>
      <x:c r="Z15" s="2"/>
    </x:row>
    <x:row r="16">
      <x:c r="A16" s="30" t="str">
        <x:v>Valence electron concentration</x:v>
      </x:c>
      <x:c r="B16" s="30" t="str">
        <x:v>VEC = Σ xᵢ(VECᵢ)</x:v>
      </x:c>
      <x:c r="C16" s="30" t="str">
        <x:v>Use as a qualitative electronic/phase-tendency descriptor; it is not a hardness equation.</x:v>
      </x:c>
      <x:c r="D16" s="2"/>
      <x:c r="E16" s="2"/>
      <x:c r="F16" s="2"/>
      <x:c r="G16" s="2"/>
      <x:c r="H16" s="2"/>
      <x:c r="I16" s="2"/>
      <x:c r="J16" s="2"/>
      <x:c r="K16" s="2"/>
      <x:c r="L16" s="2"/>
      <x:c r="M16" s="2"/>
      <x:c r="N16" s="2"/>
      <x:c r="O16" s="2"/>
      <x:c r="P16" s="2"/>
      <x:c r="Q16" s="2"/>
      <x:c r="R16" s="2"/>
      <x:c r="S16" s="2"/>
      <x:c r="T16" s="2"/>
      <x:c r="U16" s="2"/>
      <x:c r="V16" s="2"/>
      <x:c r="W16" s="2"/>
      <x:c r="X16" s="2"/>
      <x:c r="Y16" s="2"/>
      <x:c r="Z16" s="2"/>
    </x:row>
    <x:row r="17">
      <x:c r="A17" s="30" t="str">
        <x:v>Mean atomic radius</x:v>
      </x:c>
      <x:c r="B17" s="30" t="str">
        <x:v>r̄ = Σ xᵢrᵢ</x:v>
      </x:c>
      <x:c r="C17" s="30" t="str">
        <x:v>Needed for the atomic-size mismatch calculation.</x:v>
      </x:c>
      <x:c r="D17" s="2"/>
      <x:c r="E17" s="2"/>
      <x:c r="F17" s="2"/>
      <x:c r="G17" s="2"/>
      <x:c r="H17" s="2"/>
      <x:c r="I17" s="2"/>
      <x:c r="J17" s="2"/>
      <x:c r="K17" s="2"/>
      <x:c r="L17" s="2"/>
      <x:c r="M17" s="2"/>
      <x:c r="N17" s="2"/>
      <x:c r="O17" s="2"/>
      <x:c r="P17" s="2"/>
      <x:c r="Q17" s="2"/>
      <x:c r="R17" s="2"/>
      <x:c r="S17" s="2"/>
      <x:c r="T17" s="2"/>
      <x:c r="U17" s="2"/>
      <x:c r="V17" s="2"/>
      <x:c r="W17" s="2"/>
      <x:c r="X17" s="2"/>
      <x:c r="Y17" s="2"/>
      <x:c r="Z17" s="2"/>
    </x:row>
    <x:row r="18">
      <x:c r="A18" s="30" t="str">
        <x:v>Atomic-size mismatch</x:v>
      </x:c>
      <x:c r="B18" s="30" t="str">
        <x:v>δ = 100 × √[Σ xᵢ(1 − rᵢ/r̄)²]</x:v>
      </x:c>
      <x:c r="C18" s="30" t="str">
        <x:v>A simple measure of atomic-size/lattice mismatch; larger δ does not guarantee higher hardness.</x:v>
      </x:c>
      <x:c r="D18" s="2"/>
      <x:c r="E18" s="2"/>
      <x:c r="F18" s="2"/>
      <x:c r="G18" s="2"/>
      <x:c r="H18" s="2"/>
      <x:c r="I18" s="2"/>
      <x:c r="J18" s="2"/>
      <x:c r="K18" s="2"/>
      <x:c r="L18" s="2"/>
      <x:c r="M18" s="2"/>
      <x:c r="N18" s="2"/>
      <x:c r="O18" s="2"/>
      <x:c r="P18" s="2"/>
      <x:c r="Q18" s="2"/>
      <x:c r="R18" s="2"/>
      <x:c r="S18" s="2"/>
      <x:c r="T18" s="2"/>
      <x:c r="U18" s="2"/>
      <x:c r="V18" s="2"/>
      <x:c r="W18" s="2"/>
      <x:c r="X18" s="2"/>
      <x:c r="Y18" s="2"/>
      <x:c r="Z18" s="2"/>
    </x:row>
    <x:row r="19">
      <x:c r="A19" s="30" t="str">
        <x:v>Ideal mixture density</x:v>
      </x:c>
      <x:c r="B19" s="30" t="str">
        <x:v>ρ = [Σ xᵢMᵢ] / [Σ xᵢMᵢ/ρᵢ]</x:v>
      </x:c>
      <x:c r="C19" s="30" t="str">
        <x:v>Used directly in the later hardness-to-weight comparison.</x:v>
      </x:c>
      <x:c r="D19" s="2"/>
      <x:c r="E19" s="2"/>
      <x:c r="F19" s="2"/>
      <x:c r="G19" s="2"/>
      <x:c r="H19" s="2"/>
      <x:c r="I19" s="2"/>
      <x:c r="J19" s="2"/>
      <x:c r="K19" s="2"/>
      <x:c r="L19" s="2"/>
      <x:c r="M19" s="2"/>
      <x:c r="N19" s="2"/>
      <x:c r="O19" s="2"/>
      <x:c r="P19" s="2"/>
      <x:c r="Q19" s="2"/>
      <x:c r="R19" s="2"/>
      <x:c r="S19" s="2"/>
      <x:c r="T19" s="2"/>
      <x:c r="U19" s="2"/>
      <x:c r="V19" s="2"/>
      <x:c r="W19" s="2"/>
      <x:c r="X19" s="2"/>
      <x:c r="Y19" s="2"/>
      <x:c r="Z19" s="2"/>
    </x:row>
    <x:row r="20">
      <x:c r="A20" s="2" t="str">
        <x:v>Specific hardness</x:v>
      </x:c>
      <x:c r="B20" s="2" t="str">
        <x:v>HV/ρ</x:v>
      </x:c>
      <x:c r="C20" s="2" t="str">
        <x:v>A selection metric used after ML or experimental hardness is available.</x:v>
      </x:c>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41" t="str">
        <x:v>Important: the descriptors above do not calculate hardness. That is intentional. They provide physically interpretable expectations, while the ML model learns the nonlinear composition→hardness relationship from experimental data. The measured hardness is the final reference, not the ML prediction.</x:v>
      </x:c>
      <x:c r="B22" s="41"/>
      <x:c r="C22" s="41"/>
      <x:c r="D22" s="41"/>
      <x:c r="E22" s="41"/>
      <x:c r="F22" s="41"/>
      <x:c r="G22" s="41"/>
      <x:c r="H22" s="41"/>
      <x:c r="I22" s="2"/>
      <x:c r="J22" s="2"/>
      <x:c r="K22" s="2"/>
      <x:c r="L22" s="2"/>
      <x:c r="M22" s="2"/>
      <x:c r="N22" s="2"/>
      <x:c r="O22" s="2"/>
      <x:c r="P22" s="2"/>
      <x:c r="Q22" s="2"/>
      <x:c r="R22" s="2"/>
      <x:c r="S22" s="2"/>
      <x:c r="T22" s="2"/>
      <x:c r="U22" s="2"/>
      <x:c r="V22" s="2"/>
      <x:c r="W22" s="2"/>
      <x:c r="X22" s="2"/>
      <x:c r="Y22" s="2"/>
      <x:c r="Z22" s="2"/>
    </x:row>
    <x:row r="23">
      <x:c r="A23" s="41"/>
      <x:c r="B23" s="41"/>
      <x:c r="C23" s="41"/>
      <x:c r="D23" s="41"/>
      <x:c r="E23" s="41"/>
      <x:c r="F23" s="41"/>
      <x:c r="G23" s="41"/>
      <x:c r="H23" s="41"/>
      <x:c r="I23" s="2"/>
      <x:c r="J23" s="2"/>
      <x:c r="K23" s="2"/>
      <x:c r="L23" s="2"/>
      <x:c r="M23" s="2"/>
      <x:c r="N23" s="2"/>
      <x:c r="O23" s="2"/>
      <x:c r="P23" s="2"/>
      <x:c r="Q23" s="2"/>
      <x:c r="R23" s="2"/>
      <x:c r="S23" s="2"/>
      <x:c r="T23" s="2"/>
      <x:c r="U23" s="2"/>
      <x:c r="V23" s="2"/>
      <x:c r="W23" s="2"/>
      <x:c r="X23" s="2"/>
      <x:c r="Y23" s="2"/>
      <x:c r="Z23" s="2"/>
    </x:row>
    <x:row r="24">
      <x:c r="A24" s="41"/>
      <x:c r="B24" s="41"/>
      <x:c r="C24" s="41"/>
      <x:c r="D24" s="41"/>
      <x:c r="E24" s="41"/>
      <x:c r="F24" s="41"/>
      <x:c r="G24" s="41"/>
      <x:c r="H24" s="41"/>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15" t="str">
        <x:v>Dataset/model: 155 as-cast Al–Co–Cr–Cu–Fe–Ni compositions with experimental Vickers hardness. The classroom model is trained on 140 compositions and the 15 candidates are held out. The 15-candidate set was selected from composition space without using the hardness target.</x:v>
      </x:c>
      <x:c r="B26" s="15"/>
      <x:c r="C26" s="15"/>
      <x:c r="D26" s="15"/>
      <x:c r="E26" s="15"/>
      <x:c r="F26" s="15"/>
      <x:c r="G26" s="15"/>
      <x:c r="H26" s="15"/>
      <x:c r="I26" s="2"/>
      <x:c r="J26" s="2"/>
      <x:c r="K26" s="2"/>
      <x:c r="L26" s="2"/>
      <x:c r="M26" s="2"/>
      <x:c r="N26" s="2"/>
      <x:c r="O26" s="2"/>
      <x:c r="P26" s="2"/>
      <x:c r="Q26" s="2"/>
      <x:c r="R26" s="2"/>
      <x:c r="S26" s="2"/>
      <x:c r="T26" s="2"/>
      <x:c r="U26" s="2"/>
      <x:c r="V26" s="2"/>
      <x:c r="W26" s="2"/>
      <x:c r="X26" s="2"/>
      <x:c r="Y26" s="2"/>
      <x:c r="Z26" s="2"/>
    </x:row>
    <x:row r="27">
      <x:c r="A27" s="15"/>
      <x:c r="B27" s="15"/>
      <x:c r="C27" s="15"/>
      <x:c r="D27" s="15"/>
      <x:c r="E27" s="15"/>
      <x:c r="F27" s="15"/>
      <x:c r="G27" s="15"/>
      <x:c r="H27" s="15"/>
      <x:c r="I27" s="2"/>
      <x:c r="J27" s="2"/>
      <x:c r="K27" s="2"/>
      <x:c r="L27" s="2"/>
      <x:c r="M27" s="2"/>
      <x:c r="N27" s="2"/>
      <x:c r="O27" s="2"/>
      <x:c r="P27" s="2"/>
      <x:c r="Q27" s="2"/>
      <x:c r="R27" s="2"/>
      <x:c r="S27" s="2"/>
      <x:c r="T27" s="2"/>
      <x:c r="U27" s="2"/>
      <x:c r="V27" s="2"/>
      <x:c r="W27" s="2"/>
      <x:c r="X27" s="2"/>
      <x:c r="Y27" s="2"/>
      <x:c r="Z27" s="2"/>
    </x:row>
    <x:row r="28">
      <x:c r="A28" s="15"/>
      <x:c r="B28" s="15"/>
      <x:c r="C28" s="15"/>
      <x:c r="D28" s="15"/>
      <x:c r="E28" s="15"/>
      <x:c r="F28" s="15"/>
      <x:c r="G28" s="15"/>
      <x:c r="H28" s="15"/>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1:H1"/>
    <x:mergeCell ref="A3:H5"/>
    <x:mergeCell ref="A13:H13"/>
    <x:mergeCell ref="A22:H24"/>
    <x:mergeCell ref="A26:H28"/>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44" hidden="0" customWidth="1"/>
  </x:cols>
  <x:sheetData>
    <x:row r="1">
      <x:c r="A1" s="7" t="str">
        <x:v>Element constants used in the student calculations</x:v>
      </x:c>
      <x:c r="B1" s="7"/>
      <x:c r="C1" s="7"/>
      <x:c r="D1" s="7"/>
      <x:c r="E1" s="7"/>
      <x:c r="F1" s="7"/>
      <x:c r="G1" s="7"/>
      <x:c r="H1" s="2"/>
      <x:c r="I1" s="2"/>
      <x:c r="J1" s="2"/>
      <x:c r="K1" s="2"/>
      <x:c r="L1" s="2"/>
      <x:c r="M1" s="2"/>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24" t="str">
        <x:v>Element</x:v>
      </x:c>
      <x:c r="B3" s="24" t="str">
        <x:v>VEC contribution</x:v>
      </x:c>
      <x:c r="C3" s="24" t="str">
        <x:v>Atomic radius (pm)</x:v>
      </x:c>
      <x:c r="D3" s="24" t="str">
        <x:v>Atomic mass (g/mol)</x:v>
      </x:c>
      <x:c r="E3" s="24" t="str">
        <x:v>Element density (g/cm³)</x:v>
      </x:c>
      <x:c r="F3" s="24" t="str">
        <x:v>Teaching cost weight</x:v>
      </x:c>
      <x:c r="G3" s="24" t="str">
        <x:v>Note</x:v>
      </x:c>
      <x:c r="H3" s="2"/>
      <x:c r="I3" s="2"/>
      <x:c r="J3" s="2"/>
      <x:c r="K3" s="2"/>
      <x:c r="L3" s="2"/>
      <x:c r="M3" s="2"/>
      <x:c r="N3" s="2"/>
      <x:c r="O3" s="2"/>
      <x:c r="P3" s="2"/>
      <x:c r="Q3" s="2"/>
      <x:c r="R3" s="2"/>
      <x:c r="S3" s="2"/>
      <x:c r="T3" s="2"/>
      <x:c r="U3" s="2"/>
      <x:c r="V3" s="2"/>
      <x:c r="W3" s="2"/>
      <x:c r="X3" s="2"/>
      <x:c r="Y3" s="2"/>
      <x:c r="Z3" s="2"/>
    </x:row>
    <x:row r="4">
      <x:c r="A4" s="2" t="str">
        <x:v>Al</x:v>
      </x:c>
      <x:c r="B4" s="46" t="n">
        <x:v>3</x:v>
      </x:c>
      <x:c r="C4" s="46" t="n">
        <x:v>143</x:v>
      </x:c>
      <x:c r="D4" s="46" t="n">
        <x:v>26.9815</x:v>
      </x:c>
      <x:c r="E4" s="46" t="n">
        <x:v>2.7</x:v>
      </x:c>
      <x:c r="F4" s="46" t="n">
        <x:v>2</x:v>
      </x:c>
      <x:c r="G4" s="2" t="str">
        <x:v>Cost weight is an illustrative classroom index, not a market price.</x:v>
      </x:c>
      <x:c r="H4" s="2"/>
      <x:c r="I4" s="2"/>
      <x:c r="J4" s="2"/>
      <x:c r="K4" s="2"/>
      <x:c r="L4" s="2"/>
      <x:c r="M4" s="2"/>
      <x:c r="N4" s="2"/>
      <x:c r="O4" s="2"/>
      <x:c r="P4" s="2"/>
      <x:c r="Q4" s="2"/>
      <x:c r="R4" s="2"/>
      <x:c r="S4" s="2"/>
      <x:c r="T4" s="2"/>
      <x:c r="U4" s="2"/>
      <x:c r="V4" s="2"/>
      <x:c r="W4" s="2"/>
      <x:c r="X4" s="2"/>
      <x:c r="Y4" s="2"/>
      <x:c r="Z4" s="2"/>
    </x:row>
    <x:row r="5">
      <x:c r="A5" s="2" t="str">
        <x:v>Co</x:v>
      </x:c>
      <x:c r="B5" s="46" t="n">
        <x:v>9</x:v>
      </x:c>
      <x:c r="C5" s="46" t="n">
        <x:v>125</x:v>
      </x:c>
      <x:c r="D5" s="46" t="n">
        <x:v>58.9332</x:v>
      </x:c>
      <x:c r="E5" s="46" t="n">
        <x:v>8.9</x:v>
      </x:c>
      <x:c r="F5" s="46" t="n">
        <x:v>25</x:v>
      </x:c>
      <x:c r="G5" s="2" t="str">
        <x:v>Cost weight is an illustrative classroom index, not a market price.</x:v>
      </x:c>
      <x:c r="H5" s="2"/>
      <x:c r="I5" s="2"/>
      <x:c r="J5" s="2"/>
      <x:c r="K5" s="2"/>
      <x:c r="L5" s="2"/>
      <x:c r="M5" s="2"/>
      <x:c r="N5" s="2"/>
      <x:c r="O5" s="2"/>
      <x:c r="P5" s="2"/>
      <x:c r="Q5" s="2"/>
      <x:c r="R5" s="2"/>
      <x:c r="S5" s="2"/>
      <x:c r="T5" s="2"/>
      <x:c r="U5" s="2"/>
      <x:c r="V5" s="2"/>
      <x:c r="W5" s="2"/>
      <x:c r="X5" s="2"/>
      <x:c r="Y5" s="2"/>
      <x:c r="Z5" s="2"/>
    </x:row>
    <x:row r="6">
      <x:c r="A6" s="2" t="str">
        <x:v>Cr</x:v>
      </x:c>
      <x:c r="B6" s="46" t="n">
        <x:v>6</x:v>
      </x:c>
      <x:c r="C6" s="46" t="n">
        <x:v>128</x:v>
      </x:c>
      <x:c r="D6" s="46" t="n">
        <x:v>51.9961</x:v>
      </x:c>
      <x:c r="E6" s="46" t="n">
        <x:v>7.19</x:v>
      </x:c>
      <x:c r="F6" s="46" t="n">
        <x:v>2.5</x:v>
      </x:c>
      <x:c r="G6" s="2" t="str">
        <x:v>Cost weight is an illustrative classroom index, not a market price.</x:v>
      </x:c>
      <x:c r="H6" s="2"/>
      <x:c r="I6" s="2"/>
      <x:c r="J6" s="2"/>
      <x:c r="K6" s="2"/>
      <x:c r="L6" s="2"/>
      <x:c r="M6" s="2"/>
      <x:c r="N6" s="2"/>
      <x:c r="O6" s="2"/>
      <x:c r="P6" s="2"/>
      <x:c r="Q6" s="2"/>
      <x:c r="R6" s="2"/>
      <x:c r="S6" s="2"/>
      <x:c r="T6" s="2"/>
      <x:c r="U6" s="2"/>
      <x:c r="V6" s="2"/>
      <x:c r="W6" s="2"/>
      <x:c r="X6" s="2"/>
      <x:c r="Y6" s="2"/>
      <x:c r="Z6" s="2"/>
    </x:row>
    <x:row r="7">
      <x:c r="A7" s="2" t="str">
        <x:v>Cu</x:v>
      </x:c>
      <x:c r="B7" s="46" t="n">
        <x:v>11</x:v>
      </x:c>
      <x:c r="C7" s="46" t="n">
        <x:v>128</x:v>
      </x:c>
      <x:c r="D7" s="46" t="n">
        <x:v>63.546</x:v>
      </x:c>
      <x:c r="E7" s="46" t="n">
        <x:v>8.96</x:v>
      </x:c>
      <x:c r="F7" s="46" t="n">
        <x:v>8</x:v>
      </x:c>
      <x:c r="G7" s="2" t="str">
        <x:v>Cost weight is an illustrative classroom index, not a market price.</x:v>
      </x:c>
      <x:c r="H7" s="2"/>
      <x:c r="I7" s="2"/>
      <x:c r="J7" s="2"/>
      <x:c r="K7" s="2"/>
      <x:c r="L7" s="2"/>
      <x:c r="M7" s="2"/>
      <x:c r="N7" s="2"/>
      <x:c r="O7" s="2"/>
      <x:c r="P7" s="2"/>
      <x:c r="Q7" s="2"/>
      <x:c r="R7" s="2"/>
      <x:c r="S7" s="2"/>
      <x:c r="T7" s="2"/>
      <x:c r="U7" s="2"/>
      <x:c r="V7" s="2"/>
      <x:c r="W7" s="2"/>
      <x:c r="X7" s="2"/>
      <x:c r="Y7" s="2"/>
      <x:c r="Z7" s="2"/>
    </x:row>
    <x:row r="8">
      <x:c r="A8" s="2" t="str">
        <x:v>Fe</x:v>
      </x:c>
      <x:c r="B8" s="46" t="n">
        <x:v>8</x:v>
      </x:c>
      <x:c r="C8" s="46" t="n">
        <x:v>126</x:v>
      </x:c>
      <x:c r="D8" s="46" t="n">
        <x:v>55.845</x:v>
      </x:c>
      <x:c r="E8" s="46" t="n">
        <x:v>7.874</x:v>
      </x:c>
      <x:c r="F8" s="46" t="n">
        <x:v>1</x:v>
      </x:c>
      <x:c r="G8" s="2" t="str">
        <x:v>Cost weight is an illustrative classroom index, not a market price.</x:v>
      </x:c>
      <x:c r="H8" s="2"/>
      <x:c r="I8" s="2"/>
      <x:c r="J8" s="2"/>
      <x:c r="K8" s="2"/>
      <x:c r="L8" s="2"/>
      <x:c r="M8" s="2"/>
      <x:c r="N8" s="2"/>
      <x:c r="O8" s="2"/>
      <x:c r="P8" s="2"/>
      <x:c r="Q8" s="2"/>
      <x:c r="R8" s="2"/>
      <x:c r="S8" s="2"/>
      <x:c r="T8" s="2"/>
      <x:c r="U8" s="2"/>
      <x:c r="V8" s="2"/>
      <x:c r="W8" s="2"/>
      <x:c r="X8" s="2"/>
      <x:c r="Y8" s="2"/>
      <x:c r="Z8" s="2"/>
    </x:row>
    <x:row r="9">
      <x:c r="A9" s="2" t="str">
        <x:v>Ni</x:v>
      </x:c>
      <x:c r="B9" s="46" t="n">
        <x:v>10</x:v>
      </x:c>
      <x:c r="C9" s="46" t="n">
        <x:v>124</x:v>
      </x:c>
      <x:c r="D9" s="46" t="n">
        <x:v>58.6934</x:v>
      </x:c>
      <x:c r="E9" s="46" t="n">
        <x:v>8.908</x:v>
      </x:c>
      <x:c r="F9" s="46" t="n">
        <x:v>10</x:v>
      </x:c>
      <x:c r="G9" s="2" t="str">
        <x:v>Cost weight is an illustrative classroom index, not a market price.</x:v>
      </x:c>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15" t="str">
        <x:v>Why these constants? VEC is used only as a simple electronic/phase-tendency descriptor; atomic radius is used to calculate atomic-size mismatch δ; atomic mass and elemental density are used to estimate the alloy density by an ideal rule of mixtures. The cost weights are deliberately relative: Fe = 1, Al = 2, Cr = 2.5, Cu = 8, Ni = 10, Co = 25. They are included only to create a transparent cost trade-off in the classroom.</x:v>
      </x:c>
      <x:c r="B11" s="15"/>
      <x:c r="C11" s="15"/>
      <x:c r="D11" s="15"/>
      <x:c r="E11" s="15"/>
      <x:c r="F11" s="15"/>
      <x:c r="G11" s="15"/>
      <x:c r="H11" s="2"/>
      <x:c r="I11" s="2"/>
      <x:c r="J11" s="2"/>
      <x:c r="K11" s="2"/>
      <x:c r="L11" s="2"/>
      <x:c r="M11" s="2"/>
      <x:c r="N11" s="2"/>
      <x:c r="O11" s="2"/>
      <x:c r="P11" s="2"/>
      <x:c r="Q11" s="2"/>
      <x:c r="R11" s="2"/>
      <x:c r="S11" s="2"/>
      <x:c r="T11" s="2"/>
      <x:c r="U11" s="2"/>
      <x:c r="V11" s="2"/>
      <x:c r="W11" s="2"/>
      <x:c r="X11" s="2"/>
      <x:c r="Y11" s="2"/>
      <x:c r="Z11" s="2"/>
    </x:row>
    <x:row r="12">
      <x:c r="A12" s="15"/>
      <x:c r="B12" s="15"/>
      <x:c r="C12" s="15"/>
      <x:c r="D12" s="15"/>
      <x:c r="E12" s="15"/>
      <x:c r="F12" s="15"/>
      <x:c r="G12" s="15"/>
      <x:c r="H12" s="2"/>
      <x:c r="I12" s="2"/>
      <x:c r="J12" s="2"/>
      <x:c r="K12" s="2"/>
      <x:c r="L12" s="2"/>
      <x:c r="M12" s="2"/>
      <x:c r="N12" s="2"/>
      <x:c r="O12" s="2"/>
      <x:c r="P12" s="2"/>
      <x:c r="Q12" s="2"/>
      <x:c r="R12" s="2"/>
      <x:c r="S12" s="2"/>
      <x:c r="T12" s="2"/>
      <x:c r="U12" s="2"/>
      <x:c r="V12" s="2"/>
      <x:c r="W12" s="2"/>
      <x:c r="X12" s="2"/>
      <x:c r="Y12" s="2"/>
      <x:c r="Z12" s="2"/>
    </x:row>
    <x:row r="13">
      <x:c r="A13" s="15"/>
      <x:c r="B13" s="15"/>
      <x:c r="C13" s="15"/>
      <x:c r="D13" s="15"/>
      <x:c r="E13" s="15"/>
      <x:c r="F13" s="15"/>
      <x:c r="G13" s="15"/>
      <x:c r="H13" s="2"/>
      <x:c r="I13" s="2"/>
      <x:c r="J13" s="2"/>
      <x:c r="K13" s="2"/>
      <x:c r="L13" s="2"/>
      <x:c r="M13" s="2"/>
      <x:c r="N13" s="2"/>
      <x:c r="O13" s="2"/>
      <x:c r="P13" s="2"/>
      <x:c r="Q13" s="2"/>
      <x:c r="R13" s="2"/>
      <x:c r="S13" s="2"/>
      <x:c r="T13" s="2"/>
      <x:c r="U13" s="2"/>
      <x:c r="V13" s="2"/>
      <x:c r="W13" s="2"/>
      <x:c r="X13" s="2"/>
      <x:c r="Y13" s="2"/>
      <x:c r="Z13" s="2"/>
    </x:row>
    <x:row r="14">
      <x:c r="A14" s="15"/>
      <x:c r="B14" s="15"/>
      <x:c r="C14" s="15"/>
      <x:c r="D14" s="15"/>
      <x:c r="E14" s="15"/>
      <x:c r="F14" s="15"/>
      <x:c r="G14" s="15"/>
      <x:c r="H14" s="2"/>
      <x:c r="I14" s="2"/>
      <x:c r="J14" s="2"/>
      <x:c r="K14" s="2"/>
      <x:c r="L14" s="2"/>
      <x:c r="M14" s="2"/>
      <x:c r="N14" s="2"/>
      <x:c r="O14" s="2"/>
      <x:c r="P14" s="2"/>
      <x:c r="Q14" s="2"/>
      <x:c r="R14" s="2"/>
      <x:c r="S14" s="2"/>
      <x:c r="T14" s="2"/>
      <x:c r="U14" s="2"/>
      <x:c r="V14" s="2"/>
      <x:c r="W14" s="2"/>
      <x:c r="X14" s="2"/>
      <x:c r="Y14" s="2"/>
      <x:c r="Z14" s="2"/>
    </x:row>
    <x:row r="15">
      <x:c r="A15" s="15"/>
      <x:c r="B15" s="15"/>
      <x:c r="C15" s="15"/>
      <x:c r="D15" s="15"/>
      <x:c r="E15" s="15"/>
      <x:c r="F15" s="15"/>
      <x:c r="G15" s="15"/>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1:G1"/>
    <x:mergeCell ref="A11:G15"/>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1"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5" hidden="0" customWidth="1"/>
    <x:col min="9" max="9" width="15" hidden="0" customWidth="1"/>
    <x:col min="10" max="10" width="15" hidden="0" customWidth="1"/>
    <x:col min="11" max="11" width="20" hidden="0" customWidth="1"/>
    <x:col min="12" max="12" width="20" hidden="0" customWidth="1"/>
    <x:col min="13" max="13" width="45" hidden="0" customWidth="1"/>
  </x:cols>
  <x:sheetData>
    <x:row r="1">
      <x:c r="A1" s="7" t="str">
        <x:v>Stage 1 — Make a materials-science prediction before seeing ML</x:v>
      </x:c>
      <x:c r="B1" s="7"/>
      <x:c r="C1" s="7"/>
      <x:c r="D1" s="7"/>
      <x:c r="E1" s="7"/>
      <x:c r="F1" s="7"/>
      <x:c r="G1" s="7"/>
      <x:c r="H1" s="7"/>
      <x:c r="I1" s="7"/>
      <x:c r="J1" s="7"/>
      <x:c r="K1" s="7"/>
      <x:c r="L1" s="7"/>
      <x:c r="M1" s="7"/>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15" t="str">
        <x:v>For at least 3 candidates assigned by your instructor, calculate VEC, δ and density using the equations on the Brief sheet. Then predict whether the candidate should have relatively low, medium or high resistance to local plastic indentation. Do not try to calculate HV from these descriptors.</x:v>
      </x:c>
      <x:c r="B3" s="15"/>
      <x:c r="C3" s="15"/>
      <x:c r="D3" s="15"/>
      <x:c r="E3" s="15"/>
      <x:c r="F3" s="15"/>
      <x:c r="G3" s="15"/>
      <x:c r="H3" s="15"/>
      <x:c r="I3" s="15"/>
      <x:c r="J3" s="15"/>
      <x:c r="K3" s="15"/>
      <x:c r="L3" s="15"/>
      <x:c r="M3" s="15"/>
      <x:c r="N3" s="2"/>
      <x:c r="O3" s="2"/>
      <x:c r="P3" s="2"/>
      <x:c r="Q3" s="2"/>
      <x:c r="R3" s="2"/>
      <x:c r="S3" s="2"/>
      <x:c r="T3" s="2"/>
      <x:c r="U3" s="2"/>
      <x:c r="V3" s="2"/>
      <x:c r="W3" s="2"/>
      <x:c r="X3" s="2"/>
      <x:c r="Y3" s="2"/>
      <x:c r="Z3" s="2"/>
    </x:row>
    <x:row r="4">
      <x:c r="A4" s="15"/>
      <x:c r="B4" s="15"/>
      <x:c r="C4" s="15"/>
      <x:c r="D4" s="15"/>
      <x:c r="E4" s="15"/>
      <x:c r="F4" s="15"/>
      <x:c r="G4" s="15"/>
      <x:c r="H4" s="15"/>
      <x:c r="I4" s="15"/>
      <x:c r="J4" s="15"/>
      <x:c r="K4" s="15"/>
      <x:c r="L4" s="15"/>
      <x:c r="M4" s="15"/>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4" t="str">
        <x:v>Candidate</x:v>
      </x:c>
      <x:c r="B6" s="24" t="str">
        <x:v>Al at.%</x:v>
      </x:c>
      <x:c r="C6" s="24" t="str">
        <x:v>Co at.%</x:v>
      </x:c>
      <x:c r="D6" s="24" t="str">
        <x:v>Cr at.%</x:v>
      </x:c>
      <x:c r="E6" s="24" t="str">
        <x:v>Cu at.%</x:v>
      </x:c>
      <x:c r="F6" s="24" t="str">
        <x:v>Fe at.%</x:v>
      </x:c>
      <x:c r="G6" s="24" t="str">
        <x:v>Ni at.%</x:v>
      </x:c>
      <x:c r="H6" s="24" t="str">
        <x:v>Your VEC</x:v>
      </x:c>
      <x:c r="I6" s="24" t="str">
        <x:v>Your δ (%)</x:v>
      </x:c>
      <x:c r="J6" s="24" t="str">
        <x:v>Your density (g/cm³)</x:v>
      </x:c>
      <x:c r="K6" s="24" t="str">
        <x:v>Initial hardness expectation</x:v>
      </x:c>
      <x:c r="L6" s="24" t="str">
        <x:v>Initial rank</x:v>
      </x:c>
      <x:c r="M6" s="24" t="str">
        <x:v>Reasoning</x:v>
      </x:c>
      <x:c r="N6" s="2"/>
      <x:c r="O6" s="2"/>
      <x:c r="P6" s="2"/>
      <x:c r="Q6" s="2"/>
      <x:c r="R6" s="2"/>
      <x:c r="S6" s="2"/>
      <x:c r="T6" s="2"/>
      <x:c r="U6" s="2"/>
      <x:c r="V6" s="2"/>
      <x:c r="W6" s="2"/>
      <x:c r="X6" s="2"/>
      <x:c r="Y6" s="2"/>
      <x:c r="Z6" s="2"/>
    </x:row>
    <x:row r="7">
      <x:c r="A7" s="30" t="str">
        <x:v>A</x:v>
      </x:c>
      <x:c r="B7" s="48" t="n">
        <x:v>2.4</x:v>
      </x:c>
      <x:c r="C7" s="48" t="n">
        <x:v>24.4</x:v>
      </x:c>
      <x:c r="D7" s="48" t="n">
        <x:v>24.4</x:v>
      </x:c>
      <x:c r="E7" s="48" t="n">
        <x:v>0</x:v>
      </x:c>
      <x:c r="F7" s="48" t="n">
        <x:v>24.4</x:v>
      </x:c>
      <x:c r="G7" s="48" t="n">
        <x:v>24.4</x:v>
      </x:c>
      <x:c r="H7" s="48"/>
      <x:c r="I7" s="48"/>
      <x:c r="J7" s="48"/>
      <x:c r="K7" s="30"/>
      <x:c r="L7" s="30"/>
      <x:c r="M7" s="30"/>
      <x:c r="N7" s="2"/>
      <x:c r="O7" s="2"/>
      <x:c r="P7" s="2"/>
      <x:c r="Q7" s="2"/>
      <x:c r="R7" s="2"/>
      <x:c r="S7" s="2"/>
      <x:c r="T7" s="2"/>
      <x:c r="U7" s="2"/>
      <x:c r="V7" s="2"/>
      <x:c r="W7" s="2"/>
      <x:c r="X7" s="2"/>
      <x:c r="Y7" s="2"/>
      <x:c r="Z7" s="2"/>
    </x:row>
    <x:row r="8">
      <x:c r="A8" s="30" t="str">
        <x:v>B</x:v>
      </x:c>
      <x:c r="B8" s="48" t="n">
        <x:v>0</x:v>
      </x:c>
      <x:c r="C8" s="48" t="n">
        <x:v>5</x:v>
      </x:c>
      <x:c r="D8" s="48" t="n">
        <x:v>23.8</x:v>
      </x:c>
      <x:c r="E8" s="48" t="n">
        <x:v>23.8</x:v>
      </x:c>
      <x:c r="F8" s="48" t="n">
        <x:v>23.8</x:v>
      </x:c>
      <x:c r="G8" s="48" t="n">
        <x:v>23.8</x:v>
      </x:c>
      <x:c r="H8" s="48"/>
      <x:c r="I8" s="48"/>
      <x:c r="J8" s="48"/>
      <x:c r="K8" s="30"/>
      <x:c r="L8" s="30"/>
      <x:c r="M8" s="30"/>
      <x:c r="N8" s="2"/>
      <x:c r="O8" s="2"/>
      <x:c r="P8" s="2"/>
      <x:c r="Q8" s="2"/>
      <x:c r="R8" s="2"/>
      <x:c r="S8" s="2"/>
      <x:c r="T8" s="2"/>
      <x:c r="U8" s="2"/>
      <x:c r="V8" s="2"/>
      <x:c r="W8" s="2"/>
      <x:c r="X8" s="2"/>
      <x:c r="Y8" s="2"/>
      <x:c r="Z8" s="2"/>
    </x:row>
    <x:row r="9">
      <x:c r="A9" s="30" t="str">
        <x:v>C</x:v>
      </x:c>
      <x:c r="B9" s="48" t="n">
        <x:v>0</x:v>
      </x:c>
      <x:c r="C9" s="48" t="n">
        <x:v>20</x:v>
      </x:c>
      <x:c r="D9" s="48" t="n">
        <x:v>20</x:v>
      </x:c>
      <x:c r="E9" s="48" t="n">
        <x:v>20</x:v>
      </x:c>
      <x:c r="F9" s="48" t="n">
        <x:v>20</x:v>
      </x:c>
      <x:c r="G9" s="48" t="n">
        <x:v>20</x:v>
      </x:c>
      <x:c r="H9" s="48"/>
      <x:c r="I9" s="48"/>
      <x:c r="J9" s="48"/>
      <x:c r="K9" s="30"/>
      <x:c r="L9" s="30"/>
      <x:c r="M9" s="30"/>
      <x:c r="N9" s="2"/>
      <x:c r="O9" s="2"/>
      <x:c r="P9" s="2"/>
      <x:c r="Q9" s="2"/>
      <x:c r="R9" s="2"/>
      <x:c r="S9" s="2"/>
      <x:c r="T9" s="2"/>
      <x:c r="U9" s="2"/>
      <x:c r="V9" s="2"/>
      <x:c r="W9" s="2"/>
      <x:c r="X9" s="2"/>
      <x:c r="Y9" s="2"/>
      <x:c r="Z9" s="2"/>
    </x:row>
    <x:row r="10">
      <x:c r="A10" s="30" t="str">
        <x:v>D</x:v>
      </x:c>
      <x:c r="B10" s="48" t="n">
        <x:v>15.4</x:v>
      </x:c>
      <x:c r="C10" s="48" t="n">
        <x:v>15.4</x:v>
      </x:c>
      <x:c r="D10" s="48" t="n">
        <x:v>15.4</x:v>
      </x:c>
      <x:c r="E10" s="48" t="n">
        <x:v>0</x:v>
      </x:c>
      <x:c r="F10" s="48" t="n">
        <x:v>15.4</x:v>
      </x:c>
      <x:c r="G10" s="48" t="n">
        <x:v>38.5</x:v>
      </x:c>
      <x:c r="H10" s="48"/>
      <x:c r="I10" s="48"/>
      <x:c r="J10" s="48"/>
      <x:c r="K10" s="30"/>
      <x:c r="L10" s="30"/>
      <x:c r="M10" s="30"/>
      <x:c r="N10" s="2"/>
      <x:c r="O10" s="2"/>
      <x:c r="P10" s="2"/>
      <x:c r="Q10" s="2"/>
      <x:c r="R10" s="2"/>
      <x:c r="S10" s="2"/>
      <x:c r="T10" s="2"/>
      <x:c r="U10" s="2"/>
      <x:c r="V10" s="2"/>
      <x:c r="W10" s="2"/>
      <x:c r="X10" s="2"/>
      <x:c r="Y10" s="2"/>
      <x:c r="Z10" s="2"/>
    </x:row>
    <x:row r="11">
      <x:c r="A11" s="30" t="str">
        <x:v>E</x:v>
      </x:c>
      <x:c r="B11" s="48" t="n">
        <x:v>10.7</x:v>
      </x:c>
      <x:c r="C11" s="48" t="n">
        <x:v>0</x:v>
      </x:c>
      <x:c r="D11" s="48" t="n">
        <x:v>17.9</x:v>
      </x:c>
      <x:c r="E11" s="48" t="n">
        <x:v>17.9</x:v>
      </x:c>
      <x:c r="F11" s="48" t="n">
        <x:v>17.9</x:v>
      </x:c>
      <x:c r="G11" s="48" t="n">
        <x:v>35.7</x:v>
      </x:c>
      <x:c r="H11" s="48"/>
      <x:c r="I11" s="48"/>
      <x:c r="J11" s="48"/>
      <x:c r="K11" s="30"/>
      <x:c r="L11" s="30"/>
      <x:c r="M11" s="30"/>
      <x:c r="N11" s="2"/>
      <x:c r="O11" s="2"/>
      <x:c r="P11" s="2"/>
      <x:c r="Q11" s="2"/>
      <x:c r="R11" s="2"/>
      <x:c r="S11" s="2"/>
      <x:c r="T11" s="2"/>
      <x:c r="U11" s="2"/>
      <x:c r="V11" s="2"/>
      <x:c r="W11" s="2"/>
      <x:c r="X11" s="2"/>
      <x:c r="Y11" s="2"/>
      <x:c r="Z11" s="2"/>
    </x:row>
    <x:row r="12">
      <x:c r="A12" s="30" t="str">
        <x:v>F</x:v>
      </x:c>
      <x:c r="B12" s="48" t="n">
        <x:v>6.3</x:v>
      </x:c>
      <x:c r="C12" s="48" t="n">
        <x:v>0</x:v>
      </x:c>
      <x:c r="D12" s="48" t="n">
        <x:v>31.3</x:v>
      </x:c>
      <x:c r="E12" s="48" t="n">
        <x:v>0</x:v>
      </x:c>
      <x:c r="F12" s="48" t="n">
        <x:v>46.9</x:v>
      </x:c>
      <x:c r="G12" s="48" t="n">
        <x:v>15.6</x:v>
      </x:c>
      <x:c r="H12" s="48"/>
      <x:c r="I12" s="48"/>
      <x:c r="J12" s="48"/>
      <x:c r="K12" s="30"/>
      <x:c r="L12" s="30"/>
      <x:c r="M12" s="30"/>
      <x:c r="N12" s="2"/>
      <x:c r="O12" s="2"/>
      <x:c r="P12" s="2"/>
      <x:c r="Q12" s="2"/>
      <x:c r="R12" s="2"/>
      <x:c r="S12" s="2"/>
      <x:c r="T12" s="2"/>
      <x:c r="U12" s="2"/>
      <x:c r="V12" s="2"/>
      <x:c r="W12" s="2"/>
      <x:c r="X12" s="2"/>
      <x:c r="Y12" s="2"/>
      <x:c r="Z12" s="2"/>
    </x:row>
    <x:row r="13">
      <x:c r="A13" s="30" t="str">
        <x:v>G</x:v>
      </x:c>
      <x:c r="B13" s="48" t="n">
        <x:v>18.2</x:v>
      </x:c>
      <x:c r="C13" s="48" t="n">
        <x:v>27.3</x:v>
      </x:c>
      <x:c r="D13" s="48" t="n">
        <x:v>0</x:v>
      </x:c>
      <x:c r="E13" s="48" t="n">
        <x:v>18.2</x:v>
      </x:c>
      <x:c r="F13" s="48" t="n">
        <x:v>18.2</x:v>
      </x:c>
      <x:c r="G13" s="48" t="n">
        <x:v>18.2</x:v>
      </x:c>
      <x:c r="H13" s="48"/>
      <x:c r="I13" s="48"/>
      <x:c r="J13" s="48"/>
      <x:c r="K13" s="30"/>
      <x:c r="L13" s="30"/>
      <x:c r="M13" s="30"/>
      <x:c r="N13" s="2"/>
      <x:c r="O13" s="2"/>
      <x:c r="P13" s="2"/>
      <x:c r="Q13" s="2"/>
      <x:c r="R13" s="2"/>
      <x:c r="S13" s="2"/>
      <x:c r="T13" s="2"/>
      <x:c r="U13" s="2"/>
      <x:c r="V13" s="2"/>
      <x:c r="W13" s="2"/>
      <x:c r="X13" s="2"/>
      <x:c r="Y13" s="2"/>
      <x:c r="Z13" s="2"/>
    </x:row>
    <x:row r="14">
      <x:c r="A14" s="30" t="str">
        <x:v>H</x:v>
      </x:c>
      <x:c r="B14" s="48" t="n">
        <x:v>20</x:v>
      </x:c>
      <x:c r="C14" s="48" t="n">
        <x:v>26.7</x:v>
      </x:c>
      <x:c r="D14" s="48" t="n">
        <x:v>0</x:v>
      </x:c>
      <x:c r="E14" s="48" t="n">
        <x:v>0</x:v>
      </x:c>
      <x:c r="F14" s="48" t="n">
        <x:v>26.7</x:v>
      </x:c>
      <x:c r="G14" s="48" t="n">
        <x:v>26.7</x:v>
      </x:c>
      <x:c r="H14" s="48"/>
      <x:c r="I14" s="48"/>
      <x:c r="J14" s="48"/>
      <x:c r="K14" s="30"/>
      <x:c r="L14" s="30"/>
      <x:c r="M14" s="30"/>
      <x:c r="N14" s="2"/>
      <x:c r="O14" s="2"/>
      <x:c r="P14" s="2"/>
      <x:c r="Q14" s="2"/>
      <x:c r="R14" s="2"/>
      <x:c r="S14" s="2"/>
      <x:c r="T14" s="2"/>
      <x:c r="U14" s="2"/>
      <x:c r="V14" s="2"/>
      <x:c r="W14" s="2"/>
      <x:c r="X14" s="2"/>
      <x:c r="Y14" s="2"/>
      <x:c r="Z14" s="2"/>
    </x:row>
    <x:row r="15">
      <x:c r="A15" s="30" t="str">
        <x:v>I</x:v>
      </x:c>
      <x:c r="B15" s="48" t="n">
        <x:v>10</x:v>
      </x:c>
      <x:c r="C15" s="48" t="n">
        <x:v>0</x:v>
      </x:c>
      <x:c r="D15" s="48" t="n">
        <x:v>35</x:v>
      </x:c>
      <x:c r="E15" s="48" t="n">
        <x:v>24</x:v>
      </x:c>
      <x:c r="F15" s="48" t="n">
        <x:v>5</x:v>
      </x:c>
      <x:c r="G15" s="48" t="n">
        <x:v>26</x:v>
      </x:c>
      <x:c r="H15" s="48"/>
      <x:c r="I15" s="48"/>
      <x:c r="J15" s="48"/>
      <x:c r="K15" s="30"/>
      <x:c r="L15" s="30"/>
      <x:c r="M15" s="30"/>
      <x:c r="N15" s="2"/>
      <x:c r="O15" s="2"/>
      <x:c r="P15" s="2"/>
      <x:c r="Q15" s="2"/>
      <x:c r="R15" s="2"/>
      <x:c r="S15" s="2"/>
      <x:c r="T15" s="2"/>
      <x:c r="U15" s="2"/>
      <x:c r="V15" s="2"/>
      <x:c r="W15" s="2"/>
      <x:c r="X15" s="2"/>
      <x:c r="Y15" s="2"/>
      <x:c r="Z15" s="2"/>
    </x:row>
    <x:row r="16">
      <x:c r="A16" s="30" t="str">
        <x:v>J</x:v>
      </x:c>
      <x:c r="B16" s="48" t="n">
        <x:v>20.6</x:v>
      </x:c>
      <x:c r="C16" s="48" t="n">
        <x:v>15.9</x:v>
      </x:c>
      <x:c r="D16" s="48" t="n">
        <x:v>15.9</x:v>
      </x:c>
      <x:c r="E16" s="48" t="n">
        <x:v>15.9</x:v>
      </x:c>
      <x:c r="F16" s="48" t="n">
        <x:v>15.9</x:v>
      </x:c>
      <x:c r="G16" s="48" t="n">
        <x:v>15.9</x:v>
      </x:c>
      <x:c r="H16" s="48"/>
      <x:c r="I16" s="48"/>
      <x:c r="J16" s="48"/>
      <x:c r="K16" s="30"/>
      <x:c r="L16" s="30"/>
      <x:c r="M16" s="30"/>
      <x:c r="N16" s="2"/>
      <x:c r="O16" s="2"/>
      <x:c r="P16" s="2"/>
      <x:c r="Q16" s="2"/>
      <x:c r="R16" s="2"/>
      <x:c r="S16" s="2"/>
      <x:c r="T16" s="2"/>
      <x:c r="U16" s="2"/>
      <x:c r="V16" s="2"/>
      <x:c r="W16" s="2"/>
      <x:c r="X16" s="2"/>
      <x:c r="Y16" s="2"/>
      <x:c r="Z16" s="2"/>
    </x:row>
    <x:row r="17">
      <x:c r="A17" s="30" t="str">
        <x:v>K</x:v>
      </x:c>
      <x:c r="B17" s="48" t="n">
        <x:v>20</x:v>
      </x:c>
      <x:c r="C17" s="48" t="n">
        <x:v>20</x:v>
      </x:c>
      <x:c r="D17" s="48" t="n">
        <x:v>20</x:v>
      </x:c>
      <x:c r="E17" s="48" t="n">
        <x:v>0</x:v>
      </x:c>
      <x:c r="F17" s="48" t="n">
        <x:v>20</x:v>
      </x:c>
      <x:c r="G17" s="48" t="n">
        <x:v>20</x:v>
      </x:c>
      <x:c r="H17" s="48"/>
      <x:c r="I17" s="48"/>
      <x:c r="J17" s="48"/>
      <x:c r="K17" s="30"/>
      <x:c r="L17" s="30"/>
      <x:c r="M17" s="30"/>
      <x:c r="N17" s="2"/>
      <x:c r="O17" s="2"/>
      <x:c r="P17" s="2"/>
      <x:c r="Q17" s="2"/>
      <x:c r="R17" s="2"/>
      <x:c r="S17" s="2"/>
      <x:c r="T17" s="2"/>
      <x:c r="U17" s="2"/>
      <x:c r="V17" s="2"/>
      <x:c r="W17" s="2"/>
      <x:c r="X17" s="2"/>
      <x:c r="Y17" s="2"/>
      <x:c r="Z17" s="2"/>
    </x:row>
    <x:row r="18">
      <x:c r="A18" s="30" t="str">
        <x:v>L</x:v>
      </x:c>
      <x:c r="B18" s="48" t="n">
        <x:v>27.3</x:v>
      </x:c>
      <x:c r="C18" s="48" t="n">
        <x:v>0</x:v>
      </x:c>
      <x:c r="D18" s="48" t="n">
        <x:v>18.2</x:v>
      </x:c>
      <x:c r="E18" s="48" t="n">
        <x:v>18.2</x:v>
      </x:c>
      <x:c r="F18" s="48" t="n">
        <x:v>18.2</x:v>
      </x:c>
      <x:c r="G18" s="48" t="n">
        <x:v>18.2</x:v>
      </x:c>
      <x:c r="H18" s="48"/>
      <x:c r="I18" s="48"/>
      <x:c r="J18" s="48"/>
      <x:c r="K18" s="30"/>
      <x:c r="L18" s="30"/>
      <x:c r="M18" s="30"/>
      <x:c r="N18" s="2"/>
      <x:c r="O18" s="2"/>
      <x:c r="P18" s="2"/>
      <x:c r="Q18" s="2"/>
      <x:c r="R18" s="2"/>
      <x:c r="S18" s="2"/>
      <x:c r="T18" s="2"/>
      <x:c r="U18" s="2"/>
      <x:c r="V18" s="2"/>
      <x:c r="W18" s="2"/>
      <x:c r="X18" s="2"/>
      <x:c r="Y18" s="2"/>
      <x:c r="Z18" s="2"/>
    </x:row>
    <x:row r="19">
      <x:c r="A19" s="30" t="str">
        <x:v>M</x:v>
      </x:c>
      <x:c r="B19" s="48" t="n">
        <x:v>23.8</x:v>
      </x:c>
      <x:c r="C19" s="48" t="n">
        <x:v>23.8</x:v>
      </x:c>
      <x:c r="D19" s="48" t="n">
        <x:v>23.8</x:v>
      </x:c>
      <x:c r="E19" s="48" t="n">
        <x:v>0</x:v>
      </x:c>
      <x:c r="F19" s="48" t="n">
        <x:v>5</x:v>
      </x:c>
      <x:c r="G19" s="48" t="n">
        <x:v>23.8</x:v>
      </x:c>
      <x:c r="H19" s="48"/>
      <x:c r="I19" s="48"/>
      <x:c r="J19" s="48"/>
      <x:c r="K19" s="30"/>
      <x:c r="L19" s="30"/>
      <x:c r="M19" s="30"/>
      <x:c r="N19" s="2"/>
      <x:c r="O19" s="2"/>
      <x:c r="P19" s="2"/>
      <x:c r="Q19" s="2"/>
      <x:c r="R19" s="2"/>
      <x:c r="S19" s="2"/>
      <x:c r="T19" s="2"/>
      <x:c r="U19" s="2"/>
      <x:c r="V19" s="2"/>
      <x:c r="W19" s="2"/>
      <x:c r="X19" s="2"/>
      <x:c r="Y19" s="2"/>
      <x:c r="Z19" s="2"/>
    </x:row>
    <x:row r="20">
      <x:c r="A20" s="30" t="str">
        <x:v>N</x:v>
      </x:c>
      <x:c r="B20" s="48" t="n">
        <x:v>20</x:v>
      </x:c>
      <x:c r="C20" s="48" t="n">
        <x:v>26.7</x:v>
      </x:c>
      <x:c r="D20" s="48" t="n">
        <x:v>26.7</x:v>
      </x:c>
      <x:c r="E20" s="48" t="n">
        <x:v>0</x:v>
      </x:c>
      <x:c r="F20" s="48" t="n">
        <x:v>26.7</x:v>
      </x:c>
      <x:c r="G20" s="48" t="n">
        <x:v>0</x:v>
      </x:c>
      <x:c r="H20" s="48"/>
      <x:c r="I20" s="48"/>
      <x:c r="J20" s="48"/>
      <x:c r="K20" s="30"/>
      <x:c r="L20" s="30"/>
      <x:c r="M20" s="30"/>
      <x:c r="N20" s="2"/>
      <x:c r="O20" s="2"/>
      <x:c r="P20" s="2"/>
      <x:c r="Q20" s="2"/>
      <x:c r="R20" s="2"/>
      <x:c r="S20" s="2"/>
      <x:c r="T20" s="2"/>
      <x:c r="U20" s="2"/>
      <x:c r="V20" s="2"/>
      <x:c r="W20" s="2"/>
      <x:c r="X20" s="2"/>
      <x:c r="Y20" s="2"/>
      <x:c r="Z20" s="2"/>
    </x:row>
    <x:row r="21">
      <x:c r="A21" s="30" t="str">
        <x:v>O</x:v>
      </x:c>
      <x:c r="B21" s="48" t="n">
        <x:v>37.5</x:v>
      </x:c>
      <x:c r="C21" s="48" t="n">
        <x:v>12.5</x:v>
      </x:c>
      <x:c r="D21" s="48" t="n">
        <x:v>12.5</x:v>
      </x:c>
      <x:c r="E21" s="48" t="n">
        <x:v>12.5</x:v>
      </x:c>
      <x:c r="F21" s="48" t="n">
        <x:v>12.5</x:v>
      </x:c>
      <x:c r="G21" s="48" t="n">
        <x:v>12.5</x:v>
      </x:c>
      <x:c r="H21" s="48"/>
      <x:c r="I21" s="48"/>
      <x:c r="J21" s="48"/>
      <x:c r="K21" s="30"/>
      <x:c r="L21" s="30"/>
      <x:c r="M21" s="30"/>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1:M1"/>
    <x:mergeCell ref="A3:M4"/>
  </x:mergeCells>
  <x:dataValidations count="1">
    <x:dataValidation type="list" sqref="K7:K21">
      <x:formula1>"Low,Medium,High"</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1" hidden="0" customWidth="1"/>
    <x:col min="2" max="2" width="9" hidden="0" customWidth="1"/>
    <x:col min="3" max="3" width="9" hidden="0" customWidth="1"/>
    <x:col min="4" max="4" width="9" hidden="0" customWidth="1"/>
    <x:col min="5" max="5" width="9" hidden="0" customWidth="1"/>
    <x:col min="6" max="6" width="9" hidden="0" customWidth="1"/>
    <x:col min="7" max="7" width="9"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34" hidden="0" customWidth="1"/>
  </x:cols>
  <x:sheetData>
    <x:row r="1">
      <x:c r="A1" s="7" t="str">
        <x:v>Stage 2 — ML-assisted screening</x:v>
      </x:c>
      <x:c r="B1" s="7"/>
      <x:c r="C1" s="7"/>
      <x:c r="D1" s="7"/>
      <x:c r="E1" s="7"/>
      <x:c r="F1" s="7"/>
      <x:c r="G1" s="7"/>
      <x:c r="H1" s="7"/>
      <x:c r="I1" s="7"/>
      <x:c r="J1" s="7"/>
      <x:c r="K1" s="7"/>
      <x:c r="L1" s="7"/>
      <x:c r="M1" s="7"/>
      <x:c r="N1" s="7"/>
      <x:c r="O1" s="7"/>
      <x:c r="P1" s="7"/>
      <x:c r="Q1" s="7"/>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15" t="str">
        <x:v>The model now predicts hardness from composition. Screen candidates against 450 HV, then compare density, specific hardness and the relative raw-material cost index. Treat the model as evidence, not truth.</x:v>
      </x:c>
      <x:c r="B3" s="15"/>
      <x:c r="C3" s="15"/>
      <x:c r="D3" s="15"/>
      <x:c r="E3" s="15"/>
      <x:c r="F3" s="15"/>
      <x:c r="G3" s="15"/>
      <x:c r="H3" s="15"/>
      <x:c r="I3" s="15"/>
      <x:c r="J3" s="15"/>
      <x:c r="K3" s="15"/>
      <x:c r="L3" s="15"/>
      <x:c r="M3" s="15"/>
      <x:c r="N3" s="15"/>
      <x:c r="O3" s="15"/>
      <x:c r="P3" s="15"/>
      <x:c r="Q3" s="15"/>
      <x:c r="R3" s="2"/>
      <x:c r="S3" s="2"/>
      <x:c r="T3" s="2"/>
      <x:c r="U3" s="2"/>
      <x:c r="V3" s="2"/>
      <x:c r="W3" s="2"/>
      <x:c r="X3" s="2"/>
      <x:c r="Y3" s="2"/>
      <x:c r="Z3" s="2"/>
    </x:row>
    <x:row r="4">
      <x:c r="A4" s="15"/>
      <x:c r="B4" s="15"/>
      <x:c r="C4" s="15"/>
      <x:c r="D4" s="15"/>
      <x:c r="E4" s="15"/>
      <x:c r="F4" s="15"/>
      <x:c r="G4" s="15"/>
      <x:c r="H4" s="15"/>
      <x:c r="I4" s="15"/>
      <x:c r="J4" s="15"/>
      <x:c r="K4" s="15"/>
      <x:c r="L4" s="15"/>
      <x:c r="M4" s="15"/>
      <x:c r="N4" s="15"/>
      <x:c r="O4" s="15"/>
      <x:c r="P4" s="15"/>
      <x:c r="Q4" s="15"/>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4" t="str">
        <x:v>Candidate</x:v>
      </x:c>
      <x:c r="B6" s="24" t="str">
        <x:v>Al</x:v>
      </x:c>
      <x:c r="C6" s="24" t="str">
        <x:v>Co</x:v>
      </x:c>
      <x:c r="D6" s="24" t="str">
        <x:v>Cr</x:v>
      </x:c>
      <x:c r="E6" s="24" t="str">
        <x:v>Cu</x:v>
      </x:c>
      <x:c r="F6" s="24" t="str">
        <x:v>Fe</x:v>
      </x:c>
      <x:c r="G6" s="24" t="str">
        <x:v>Ni</x:v>
      </x:c>
      <x:c r="H6" s="24" t="str">
        <x:v>r̄ (pm)</x:v>
      </x:c>
      <x:c r="I6" s="24" t="str">
        <x:v>VEC</x:v>
      </x:c>
      <x:c r="J6" s="24" t="str">
        <x:v>δ (%)</x:v>
      </x:c>
      <x:c r="K6" s="24" t="str">
        <x:v>Density (g/cm³)</x:v>
      </x:c>
      <x:c r="L6" s="24" t="str">
        <x:v>ML hardness (HV)</x:v>
      </x:c>
      <x:c r="M6" s="24" t="str">
        <x:v>ML pass ≥450?</x:v>
      </x:c>
      <x:c r="N6" s="24" t="str">
        <x:v>Specific ML hardness</x:v>
      </x:c>
      <x:c r="O6" s="24" t="str">
        <x:v>Raw cost score</x:v>
      </x:c>
      <x:c r="P6" s="24" t="str">
        <x:v>Relative cost index</x:v>
      </x:c>
      <x:c r="Q6" s="24" t="str">
        <x:v>Your ML-informed decision</x:v>
      </x:c>
      <x:c r="R6" s="2"/>
      <x:c r="S6" s="2"/>
      <x:c r="T6" s="2"/>
      <x:c r="U6" s="2"/>
      <x:c r="V6" s="2"/>
      <x:c r="W6" s="2"/>
      <x:c r="X6" s="2"/>
      <x:c r="Y6" s="2"/>
      <x:c r="Z6" s="2"/>
    </x:row>
    <x:row r="7">
      <x:c r="A7" s="30" t="str">
        <x:v>A</x:v>
      </x:c>
      <x:c r="B7" s="48" t="n">
        <x:v>2.4</x:v>
      </x:c>
      <x:c r="C7" s="48" t="n">
        <x:v>24.4</x:v>
      </x:c>
      <x:c r="D7" s="48" t="n">
        <x:v>24.4</x:v>
      </x:c>
      <x:c r="E7" s="48" t="n">
        <x:v>0</x:v>
      </x:c>
      <x:c r="F7" s="48" t="n">
        <x:v>24.4</x:v>
      </x:c>
      <x:c r="G7" s="48" t="n">
        <x:v>24.4</x:v>
      </x:c>
      <x:c r="H7" s="48" t="n">
        <x:f>(B7*'Element Constants'!$C$4+C7*'Element Constants'!$C$5+D7*'Element Constants'!$C$6+E7*'Element Constants'!$C$7+F7*'Element Constants'!$C$8+G7*'Element Constants'!$C$9)/(SUM(B7:G7))</x:f>
        <x:v>126.164</x:v>
      </x:c>
      <x:c r="I7" s="48" t="n">
        <x:f>(B7*'Element Constants'!$B$4+C7*'Element Constants'!$B$5+D7*'Element Constants'!$B$6+E7*'Element Constants'!$B$7+F7*'Element Constants'!$B$8+G7*'Element Constants'!$B$9)/(SUM(B7:G7))</x:f>
        <x:v>8.123999999999999</x:v>
      </x:c>
      <x:c r="J7" s="48" t="n">
        <x:f>100*SQRT((B7/(SUM(B7:G7)))*(1-'Element Constants'!$C$4/H7)^2+(C7/(SUM(B7:G7)))*(1-'Element Constants'!$C$5/H7)^2+(D7/(SUM(B7:G7)))*(1-'Element Constants'!$C$6/H7)^2+(E7/(SUM(B7:G7)))*(1-'Element Constants'!$C$7/H7)^2+(F7/(SUM(B7:G7)))*(1-'Element Constants'!$C$8/H7)^2+(G7/(SUM(B7:G7)))*(1-'Element Constants'!$C$9/H7)^2)</x:f>
        <x:v>2.3917016636854744</x:v>
      </x:c>
      <x:c r="K7" s="48" t="n">
        <x:f>(B7*'Element Constants'!$D$4+C7*'Element Constants'!$D$5+D7*'Element Constants'!$D$6+E7*'Element Constants'!$D$7+F7*'Element Constants'!$D$8+G7*'Element Constants'!$D$9)/(B7*'Element Constants'!$D$4/'Element Constants'!$E$4+C7*'Element Constants'!$D$5/'Element Constants'!$E$5+D7*'Element Constants'!$D$6/'Element Constants'!$E$6+E7*'Element Constants'!$D$7/'Element Constants'!$E$7+F7*'Element Constants'!$D$8/'Element Constants'!$E$8+G7*'Element Constants'!$D$9/'Element Constants'!$E$9)</x:f>
        <x:v>7.9993453827699685</x:v>
      </x:c>
      <x:c r="L7" s="48" t="n">
        <x:v>143.79</x:v>
      </x:c>
      <x:c r="M7" s="48" t="b">
        <x:f>L7&gt;=450</x:f>
        <x:v>0</x:v>
      </x:c>
      <x:c r="N7" s="48" t="n">
        <x:f>L7/K7</x:f>
        <x:v>17.975220861161166</x:v>
      </x:c>
      <x:c r="O7" s="48" t="n">
        <x:f>(B7*'Element Constants'!$D$4*'Element Constants'!$F$4+C7*'Element Constants'!$D$5*'Element Constants'!$F$5+D7*'Element Constants'!$D$6*'Element Constants'!$F$6+E7*'Element Constants'!$D$7*'Element Constants'!$F$7+F7*'Element Constants'!$D$8*'Element Constants'!$F$8+G7*'Element Constants'!$D$9*'Element Constants'!$F$9)/(B7*'Element Constants'!$D$4+C7*'Element Constants'!$D$5+D7*'Element Constants'!$D$6+E7*'Element Constants'!$D$7+F7*'Element Constants'!$D$8+G7*'Element Constants'!$D$9)</x:f>
        <x:v>9.86932806053475</x:v>
      </x:c>
      <x:c r="P7" s="48" t="n">
        <x:f>O7/MIN($O$7:$O$21)</x:f>
        <x:v>3.251695541949492</x:v>
      </x:c>
      <x:c r="Q7" s="30"/>
      <x:c r="R7" s="2"/>
      <x:c r="S7" s="2"/>
      <x:c r="T7" s="2"/>
      <x:c r="U7" s="2"/>
      <x:c r="V7" s="2"/>
      <x:c r="W7" s="2"/>
      <x:c r="X7" s="2"/>
      <x:c r="Y7" s="2"/>
      <x:c r="Z7" s="2"/>
    </x:row>
    <x:row r="8">
      <x:c r="A8" s="30" t="str">
        <x:v>B</x:v>
      </x:c>
      <x:c r="B8" s="48" t="n">
        <x:v>0</x:v>
      </x:c>
      <x:c r="C8" s="48" t="n">
        <x:v>5</x:v>
      </x:c>
      <x:c r="D8" s="48" t="n">
        <x:v>23.8</x:v>
      </x:c>
      <x:c r="E8" s="48" t="n">
        <x:v>23.8</x:v>
      </x:c>
      <x:c r="F8" s="48" t="n">
        <x:v>23.8</x:v>
      </x:c>
      <x:c r="G8" s="48" t="n">
        <x:v>23.8</x:v>
      </x:c>
      <x:c r="H8" s="48" t="n">
        <x:f>(B8*'Element Constants'!$C$4+C8*'Element Constants'!$C$5+D8*'Element Constants'!$C$6+E8*'Element Constants'!$C$7+F8*'Element Constants'!$C$8+G8*'Element Constants'!$C$9)/(SUM(B8:G8))</x:f>
        <x:v>126.42514970059881</x:v>
      </x:c>
      <x:c r="I8" s="48" t="n">
        <x:f>(B8*'Element Constants'!$B$4+C8*'Element Constants'!$B$5+D8*'Element Constants'!$B$6+E8*'Element Constants'!$B$7+F8*'Element Constants'!$B$8+G8*'Element Constants'!$B$9)/(SUM(B8:G8))</x:f>
        <x:v>8.7624750499002</x:v>
      </x:c>
      <x:c r="J8" s="48" t="n">
        <x:f>100*SQRT((B8/(SUM(B8:G8)))*(1-'Element Constants'!$C$4/H8)^2+(C8/(SUM(B8:G8)))*(1-'Element Constants'!$C$5/H8)^2+(D8/(SUM(B8:G8)))*(1-'Element Constants'!$C$6/H8)^2+(E8/(SUM(B8:G8)))*(1-'Element Constants'!$C$7/H8)^2+(F8/(SUM(B8:G8)))*(1-'Element Constants'!$C$8/H8)^2+(G8/(SUM(B8:G8)))*(1-'Element Constants'!$C$9/H8)^2)</x:f>
        <x:v>1.3043881647033837</x:v>
      </x:c>
      <x:c r="K8" s="48" t="n">
        <x:f>(B8*'Element Constants'!$D$4+C8*'Element Constants'!$D$5+D8*'Element Constants'!$D$6+E8*'Element Constants'!$D$7+F8*'Element Constants'!$D$8+G8*'Element Constants'!$D$9)/(B8*'Element Constants'!$D$4/'Element Constants'!$E$4+C8*'Element Constants'!$D$5/'Element Constants'!$E$5+D8*'Element Constants'!$D$6/'Element Constants'!$E$6+E8*'Element Constants'!$D$7/'Element Constants'!$E$7+F8*'Element Constants'!$D$8/'Element Constants'!$E$8+G8*'Element Constants'!$D$9/'Element Constants'!$E$9)</x:f>
        <x:v>8.248053890208652</x:v>
      </x:c>
      <x:c r="L8" s="48" t="n">
        <x:v>147.28333333333333</x:v>
      </x:c>
      <x:c r="M8" s="48" t="b">
        <x:f>L8&gt;=450</x:f>
        <x:v>0</x:v>
      </x:c>
      <x:c r="N8" s="48" t="n">
        <x:f>L8/K8</x:f>
        <x:v>17.856737515764156</x:v>
      </x:c>
      <x:c r="O8" s="48" t="n">
        <x:f>(B8*'Element Constants'!$D$4*'Element Constants'!$F$4+C8*'Element Constants'!$D$5*'Element Constants'!$F$5+D8*'Element Constants'!$D$6*'Element Constants'!$F$6+E8*'Element Constants'!$D$7*'Element Constants'!$F$7+F8*'Element Constants'!$D$8*'Element Constants'!$F$8+G8*'Element Constants'!$D$9*'Element Constants'!$F$9)/(B8*'Element Constants'!$D$4+C8*'Element Constants'!$D$5+D8*'Element Constants'!$D$6+E8*'Element Constants'!$D$7+F8*'Element Constants'!$D$8+G8*'Element Constants'!$D$9)</x:f>
        <x:v>6.560467766690913</x:v>
      </x:c>
      <x:c r="P8" s="48" t="n">
        <x:f>O8/MIN($O$7:$O$21)</x:f>
        <x:v>2.1615092394543742</x:v>
      </x:c>
      <x:c r="Q8" s="30"/>
      <x:c r="R8" s="2"/>
      <x:c r="S8" s="2"/>
      <x:c r="T8" s="2"/>
      <x:c r="U8" s="2"/>
      <x:c r="V8" s="2"/>
      <x:c r="W8" s="2"/>
      <x:c r="X8" s="2"/>
      <x:c r="Y8" s="2"/>
      <x:c r="Z8" s="2"/>
    </x:row>
    <x:row r="9">
      <x:c r="A9" s="30" t="str">
        <x:v>C</x:v>
      </x:c>
      <x:c r="B9" s="48" t="n">
        <x:v>0</x:v>
      </x:c>
      <x:c r="C9" s="48" t="n">
        <x:v>20</x:v>
      </x:c>
      <x:c r="D9" s="48" t="n">
        <x:v>20</x:v>
      </x:c>
      <x:c r="E9" s="48" t="n">
        <x:v>20</x:v>
      </x:c>
      <x:c r="F9" s="48" t="n">
        <x:v>20</x:v>
      </x:c>
      <x:c r="G9" s="48" t="n">
        <x:v>20</x:v>
      </x:c>
      <x:c r="H9" s="48" t="n">
        <x:f>(B9*'Element Constants'!$C$4+C9*'Element Constants'!$C$5+D9*'Element Constants'!$C$6+E9*'Element Constants'!$C$7+F9*'Element Constants'!$C$8+G9*'Element Constants'!$C$9)/(SUM(B9:G9))</x:f>
        <x:v>126.2</x:v>
      </x:c>
      <x:c r="I9" s="48" t="n">
        <x:f>(B9*'Element Constants'!$B$4+C9*'Element Constants'!$B$5+D9*'Element Constants'!$B$6+E9*'Element Constants'!$B$7+F9*'Element Constants'!$B$8+G9*'Element Constants'!$B$9)/(SUM(B9:G9))</x:f>
        <x:v>8.8</x:v>
      </x:c>
      <x:c r="J9" s="48" t="n">
        <x:f>100*SQRT((B9/(SUM(B9:G9)))*(1-'Element Constants'!$C$4/H9)^2+(C9/(SUM(B9:G9)))*(1-'Element Constants'!$C$5/H9)^2+(D9/(SUM(B9:G9)))*(1-'Element Constants'!$C$6/H9)^2+(E9/(SUM(B9:G9)))*(1-'Element Constants'!$C$7/H9)^2+(F9/(SUM(B9:G9)))*(1-'Element Constants'!$C$8/H9)^2+(G9/(SUM(B9:G9)))*(1-'Element Constants'!$C$9/H9)^2)</x:f>
        <x:v>1.2678288431061853</x:v>
      </x:c>
      <x:c r="K9" s="48" t="n">
        <x:f>(B9*'Element Constants'!$D$4+C9*'Element Constants'!$D$5+D9*'Element Constants'!$D$6+E9*'Element Constants'!$D$7+F9*'Element Constants'!$D$8+G9*'Element Constants'!$D$9)/(B9*'Element Constants'!$D$4/'Element Constants'!$E$4+C9*'Element Constants'!$D$5/'Element Constants'!$E$5+D9*'Element Constants'!$D$6/'Element Constants'!$E$6+E9*'Element Constants'!$D$7/'Element Constants'!$E$7+F9*'Element Constants'!$D$8/'Element Constants'!$E$8+G9*'Element Constants'!$D$9/'Element Constants'!$E$9)</x:f>
        <x:v>8.346534417621776</x:v>
      </x:c>
      <x:c r="L9" s="48" t="n">
        <x:v>163.7</x:v>
      </x:c>
      <x:c r="M9" s="48" t="b">
        <x:f>L9&gt;=450</x:f>
        <x:v>0</x:v>
      </x:c>
      <x:c r="N9" s="48" t="n">
        <x:f>L9/K9</x:f>
        <x:v>19.612930566054498</x:v>
      </x:c>
      <x:c r="O9" s="48" t="n">
        <x:f>(B9*'Element Constants'!$D$4*'Element Constants'!$F$4+C9*'Element Constants'!$D$5*'Element Constants'!$F$5+D9*'Element Constants'!$D$6*'Element Constants'!$F$6+E9*'Element Constants'!$D$7*'Element Constants'!$F$7+F9*'Element Constants'!$D$8*'Element Constants'!$F$8+G9*'Element Constants'!$D$9*'Element Constants'!$F$9)/(B9*'Element Constants'!$D$4+C9*'Element Constants'!$D$5+D9*'Element Constants'!$D$6+E9*'Element Constants'!$D$7+F9*'Element Constants'!$D$8+G9*'Element Constants'!$D$9)</x:f>
        <x:v>9.53057675120591</x:v>
      </x:c>
      <x:c r="P9" s="48" t="n">
        <x:f>O9/MIN($O$7:$O$21)</x:f>
        <x:v>3.1400854996428773</x:v>
      </x:c>
      <x:c r="Q9" s="30"/>
      <x:c r="R9" s="2"/>
      <x:c r="S9" s="2"/>
      <x:c r="T9" s="2"/>
      <x:c r="U9" s="2"/>
      <x:c r="V9" s="2"/>
      <x:c r="W9" s="2"/>
      <x:c r="X9" s="2"/>
      <x:c r="Y9" s="2"/>
      <x:c r="Z9" s="2"/>
    </x:row>
    <x:row r="10">
      <x:c r="A10" s="30" t="str">
        <x:v>D</x:v>
      </x:c>
      <x:c r="B10" s="48" t="n">
        <x:v>15.4</x:v>
      </x:c>
      <x:c r="C10" s="48" t="n">
        <x:v>15.4</x:v>
      </x:c>
      <x:c r="D10" s="48" t="n">
        <x:v>15.4</x:v>
      </x:c>
      <x:c r="E10" s="48" t="n">
        <x:v>0</x:v>
      </x:c>
      <x:c r="F10" s="48" t="n">
        <x:v>15.4</x:v>
      </x:c>
      <x:c r="G10" s="48" t="n">
        <x:v>38.5</x:v>
      </x:c>
      <x:c r="H10" s="48" t="n">
        <x:f>(B10*'Element Constants'!$C$4+C10*'Element Constants'!$C$5+D10*'Element Constants'!$C$6+E10*'Element Constants'!$C$7+F10*'Element Constants'!$C$8+G10*'Element Constants'!$C$9)/(SUM(B10:G10))</x:f>
        <x:v>128.00000000000003</x:v>
      </x:c>
      <x:c r="I10" s="48" t="n">
        <x:f>(B10*'Element Constants'!$B$4+C10*'Element Constants'!$B$5+D10*'Element Constants'!$B$6+E10*'Element Constants'!$B$7+F10*'Element Constants'!$B$8+G10*'Element Constants'!$B$9)/(SUM(B10:G10))</x:f>
        <x:v>7.846153846153848</x:v>
      </x:c>
      <x:c r="J10" s="48" t="n">
        <x:f>100*SQRT((B10/(SUM(B10:G10)))*(1-'Element Constants'!$C$4/H10)^2+(C10/(SUM(B10:G10)))*(1-'Element Constants'!$C$5/H10)^2+(D10/(SUM(B10:G10)))*(1-'Element Constants'!$C$6/H10)^2+(E10/(SUM(B10:G10)))*(1-'Element Constants'!$C$7/H10)^2+(F10/(SUM(B10:G10)))*(1-'Element Constants'!$C$8/H10)^2+(G10/(SUM(B10:G10)))*(1-'Element Constants'!$C$9/H10)^2)</x:f>
        <x:v>5.109233487219298</x:v>
      </x:c>
      <x:c r="K10" s="48" t="n">
        <x:f>(B10*'Element Constants'!$D$4+C10*'Element Constants'!$D$5+D10*'Element Constants'!$D$6+E10*'Element Constants'!$D$7+F10*'Element Constants'!$D$8+G10*'Element Constants'!$D$9)/(B10*'Element Constants'!$D$4/'Element Constants'!$E$4+C10*'Element Constants'!$D$5/'Element Constants'!$E$5+D10*'Element Constants'!$D$6/'Element Constants'!$E$6+E10*'Element Constants'!$D$7/'Element Constants'!$E$7+F10*'Element Constants'!$D$8/'Element Constants'!$E$8+G10*'Element Constants'!$D$9/'Element Constants'!$E$9)</x:f>
        <x:v>7.181649885946389</x:v>
      </x:c>
      <x:c r="L10" s="48" t="n">
        <x:v>294.25666666666666</x:v>
      </x:c>
      <x:c r="M10" s="48" t="b">
        <x:f>L10&gt;=450</x:f>
        <x:v>0</x:v>
      </x:c>
      <x:c r="N10" s="48" t="n">
        <x:f>L10/K10</x:f>
        <x:v>40.97340741192229</x:v>
      </x:c>
      <x:c r="O10" s="48" t="n">
        <x:f>(B10*'Element Constants'!$D$4*'Element Constants'!$F$4+C10*'Element Constants'!$D$5*'Element Constants'!$F$5+D10*'Element Constants'!$D$6*'Element Constants'!$F$6+E10*'Element Constants'!$D$7*'Element Constants'!$F$7+F10*'Element Constants'!$D$8*'Element Constants'!$F$8+G10*'Element Constants'!$D$9*'Element Constants'!$F$9)/(B10*'Element Constants'!$D$4+C10*'Element Constants'!$D$5+D10*'Element Constants'!$D$6+E10*'Element Constants'!$D$7+F10*'Element Constants'!$D$8+G10*'Element Constants'!$D$9)</x:f>
        <x:v>9.340861078453859</x:v>
      </x:c>
      <x:c r="P10" s="48" t="n">
        <x:f>O10/MIN($O$7:$O$21)</x:f>
        <x:v>3.0775789537522176</x:v>
      </x:c>
      <x:c r="Q10" s="30"/>
      <x:c r="R10" s="2"/>
      <x:c r="S10" s="2"/>
      <x:c r="T10" s="2"/>
      <x:c r="U10" s="2"/>
      <x:c r="V10" s="2"/>
      <x:c r="W10" s="2"/>
      <x:c r="X10" s="2"/>
      <x:c r="Y10" s="2"/>
      <x:c r="Z10" s="2"/>
    </x:row>
    <x:row r="11">
      <x:c r="A11" s="30" t="str">
        <x:v>E</x:v>
      </x:c>
      <x:c r="B11" s="48" t="n">
        <x:v>10.7</x:v>
      </x:c>
      <x:c r="C11" s="48" t="n">
        <x:v>0</x:v>
      </x:c>
      <x:c r="D11" s="48" t="n">
        <x:v>17.9</x:v>
      </x:c>
      <x:c r="E11" s="48" t="n">
        <x:v>17.9</x:v>
      </x:c>
      <x:c r="F11" s="48" t="n">
        <x:v>17.9</x:v>
      </x:c>
      <x:c r="G11" s="48" t="n">
        <x:v>35.7</x:v>
      </x:c>
      <x:c r="H11" s="48" t="n">
        <x:f>(B11*'Element Constants'!$C$4+C11*'Element Constants'!$C$5+D11*'Element Constants'!$C$6+E11*'Element Constants'!$C$7+F11*'Element Constants'!$C$8+G11*'Element Constants'!$C$9)/(SUM(B11:G11))</x:f>
        <x:v>127.81918081918081</x:v>
      </x:c>
      <x:c r="I11" s="48" t="n">
        <x:f>(B11*'Element Constants'!$B$4+C11*'Element Constants'!$B$5+D11*'Element Constants'!$B$6+E11*'Element Constants'!$B$7+F11*'Element Constants'!$B$8+G11*'Element Constants'!$B$9)/(SUM(B11:G11))</x:f>
        <x:v>8.357642357642357</x:v>
      </x:c>
      <x:c r="J11" s="48" t="n">
        <x:f>100*SQRT((B11/(SUM(B11:G11)))*(1-'Element Constants'!$C$4/H11)^2+(C11/(SUM(B11:G11)))*(1-'Element Constants'!$C$5/H11)^2+(D11/(SUM(B11:G11)))*(1-'Element Constants'!$C$6/H11)^2+(E11/(SUM(B11:G11)))*(1-'Element Constants'!$C$7/H11)^2+(F11/(SUM(B11:G11)))*(1-'Element Constants'!$C$8/H11)^2+(G11/(SUM(B11:G11)))*(1-'Element Constants'!$C$9/H11)^2)</x:f>
        <x:v>4.316433902872773</x:v>
      </x:c>
      <x:c r="K11" s="48" t="n">
        <x:f>(B11*'Element Constants'!$D$4+C11*'Element Constants'!$D$5+D11*'Element Constants'!$D$6+E11*'Element Constants'!$D$7+F11*'Element Constants'!$D$8+G11*'Element Constants'!$D$9)/(B11*'Element Constants'!$D$4/'Element Constants'!$E$4+C11*'Element Constants'!$D$5/'Element Constants'!$E$5+D11*'Element Constants'!$D$6/'Element Constants'!$E$6+E11*'Element Constants'!$D$7/'Element Constants'!$E$7+F11*'Element Constants'!$D$8/'Element Constants'!$E$8+G11*'Element Constants'!$D$9/'Element Constants'!$E$9)</x:f>
        <x:v>7.514669457107665</x:v>
      </x:c>
      <x:c r="L11" s="48" t="n">
        <x:v>278.51</x:v>
      </x:c>
      <x:c r="M11" s="48" t="b">
        <x:f>L11&gt;=450</x:f>
        <x:v>0</x:v>
      </x:c>
      <x:c r="N11" s="48" t="n">
        <x:f>L11/K11</x:f>
        <x:v>37.06217573370103</x:v>
      </x:c>
      <x:c r="O11" s="48" t="n">
        <x:f>(B11*'Element Constants'!$D$4*'Element Constants'!$F$4+C11*'Element Constants'!$D$5*'Element Constants'!$F$5+D11*'Element Constants'!$D$6*'Element Constants'!$F$6+E11*'Element Constants'!$D$7*'Element Constants'!$F$7+F11*'Element Constants'!$D$8*'Element Constants'!$F$8+G11*'Element Constants'!$D$9*'Element Constants'!$F$9)/(B11*'Element Constants'!$D$4+C11*'Element Constants'!$D$5+D11*'Element Constants'!$D$6+E11*'Element Constants'!$D$7+F11*'Element Constants'!$D$8+G11*'Element Constants'!$D$9)</x:f>
        <x:v>6.228521481316799</x:v>
      </x:c>
      <x:c r="P11" s="48" t="n">
        <x:f>O11/MIN($O$7:$O$21)</x:f>
        <x:v>2.052141281504538</x:v>
      </x:c>
      <x:c r="Q11" s="30"/>
      <x:c r="R11" s="2"/>
      <x:c r="S11" s="2"/>
      <x:c r="T11" s="2"/>
      <x:c r="U11" s="2"/>
      <x:c r="V11" s="2"/>
      <x:c r="W11" s="2"/>
      <x:c r="X11" s="2"/>
      <x:c r="Y11" s="2"/>
      <x:c r="Z11" s="2"/>
    </x:row>
    <x:row r="12">
      <x:c r="A12" s="30" t="str">
        <x:v>F</x:v>
      </x:c>
      <x:c r="B12" s="48" t="n">
        <x:v>6.3</x:v>
      </x:c>
      <x:c r="C12" s="48" t="n">
        <x:v>0</x:v>
      </x:c>
      <x:c r="D12" s="48" t="n">
        <x:v>31.3</x:v>
      </x:c>
      <x:c r="E12" s="48" t="n">
        <x:v>0</x:v>
      </x:c>
      <x:c r="F12" s="48" t="n">
        <x:v>46.9</x:v>
      </x:c>
      <x:c r="G12" s="48" t="n">
        <x:v>15.6</x:v>
      </x:c>
      <x:c r="H12" s="48" t="n">
        <x:f>(B12*'Element Constants'!$C$4+C12*'Element Constants'!$C$5+D12*'Element Constants'!$C$6+E12*'Element Constants'!$C$7+F12*'Element Constants'!$C$8+G12*'Element Constants'!$C$9)/(SUM(B12:G12))</x:f>
        <x:v>127.3836163836164</x:v>
      </x:c>
      <x:c r="I12" s="48" t="n">
        <x:f>(B12*'Element Constants'!$B$4+C12*'Element Constants'!$B$5+D12*'Element Constants'!$B$6+E12*'Element Constants'!$B$7+F12*'Element Constants'!$B$8+G12*'Element Constants'!$B$9)/(SUM(B12:G12))</x:f>
        <x:v>7.371628371628372</x:v>
      </x:c>
      <x:c r="J12" s="48" t="n">
        <x:f>100*SQRT((B12/(SUM(B12:G12)))*(1-'Element Constants'!$C$4/H12)^2+(C12/(SUM(B12:G12)))*(1-'Element Constants'!$C$5/H12)^2+(D12/(SUM(B12:G12)))*(1-'Element Constants'!$C$6/H12)^2+(E12/(SUM(B12:G12)))*(1-'Element Constants'!$C$7/H12)^2+(F12/(SUM(B12:G12)))*(1-'Element Constants'!$C$8/H12)^2+(G12/(SUM(B12:G12)))*(1-'Element Constants'!$C$9/H12)^2)</x:f>
        <x:v>3.344315990379184</x:v>
      </x:c>
      <x:c r="K12" s="48" t="n">
        <x:f>(B12*'Element Constants'!$D$4+C12*'Element Constants'!$D$5+D12*'Element Constants'!$D$6+E12*'Element Constants'!$D$7+F12*'Element Constants'!$D$8+G12*'Element Constants'!$D$9)/(B12*'Element Constants'!$D$4/'Element Constants'!$E$4+C12*'Element Constants'!$D$5/'Element Constants'!$E$5+D12*'Element Constants'!$D$6/'Element Constants'!$E$6+E12*'Element Constants'!$D$7/'Element Constants'!$E$7+F12*'Element Constants'!$D$8/'Element Constants'!$E$8+G12*'Element Constants'!$D$9/'Element Constants'!$E$9)</x:f>
        <x:v>7.357551775489426</x:v>
      </x:c>
      <x:c r="L12" s="48" t="n">
        <x:v>296.5</x:v>
      </x:c>
      <x:c r="M12" s="48" t="b">
        <x:f>L12&gt;=450</x:f>
        <x:v>0</x:v>
      </x:c>
      <x:c r="N12" s="48" t="n">
        <x:f>L12/K12</x:f>
        <x:v>40.29873102459775</x:v>
      </x:c>
      <x:c r="O12" s="48" t="n">
        <x:f>(B12*'Element Constants'!$D$4*'Element Constants'!$F$4+C12*'Element Constants'!$D$5*'Element Constants'!$F$5+D12*'Element Constants'!$D$6*'Element Constants'!$F$6+E12*'Element Constants'!$D$7*'Element Constants'!$F$7+F12*'Element Constants'!$D$8*'Element Constants'!$F$8+G12*'Element Constants'!$D$9*'Element Constants'!$F$9)/(B12*'Element Constants'!$D$4+C12*'Element Constants'!$D$5+D12*'Element Constants'!$D$6+E12*'Element Constants'!$D$7+F12*'Element Constants'!$D$8+G12*'Element Constants'!$D$9)</x:f>
        <x:v>3.035132881665109</x:v>
      </x:c>
      <x:c r="P12" s="48" t="n">
        <x:f>O12/MIN($O$7:$O$21)</x:f>
        <x:v>1</x:v>
      </x:c>
      <x:c r="Q12" s="30"/>
      <x:c r="R12" s="2"/>
      <x:c r="S12" s="2"/>
      <x:c r="T12" s="2"/>
      <x:c r="U12" s="2"/>
      <x:c r="V12" s="2"/>
      <x:c r="W12" s="2"/>
      <x:c r="X12" s="2"/>
      <x:c r="Y12" s="2"/>
      <x:c r="Z12" s="2"/>
    </x:row>
    <x:row r="13">
      <x:c r="A13" s="30" t="str">
        <x:v>G</x:v>
      </x:c>
      <x:c r="B13" s="48" t="n">
        <x:v>18.2</x:v>
      </x:c>
      <x:c r="C13" s="48" t="n">
        <x:v>27.3</x:v>
      </x:c>
      <x:c r="D13" s="48" t="n">
        <x:v>0</x:v>
      </x:c>
      <x:c r="E13" s="48" t="n">
        <x:v>18.2</x:v>
      </x:c>
      <x:c r="F13" s="48" t="n">
        <x:v>18.2</x:v>
      </x:c>
      <x:c r="G13" s="48" t="n">
        <x:v>18.2</x:v>
      </x:c>
      <x:c r="H13" s="48" t="n">
        <x:f>(B13*'Element Constants'!$C$4+C13*'Element Constants'!$C$5+D13*'Element Constants'!$C$6+E13*'Element Constants'!$C$7+F13*'Element Constants'!$C$8+G13*'Element Constants'!$C$9)/(SUM(B13:G13))</x:f>
        <x:v>128.8181818181818</x:v>
      </x:c>
      <x:c r="I13" s="48" t="n">
        <x:f>(B13*'Element Constants'!$B$4+C13*'Element Constants'!$B$5+D13*'Element Constants'!$B$6+E13*'Element Constants'!$B$7+F13*'Element Constants'!$B$8+G13*'Element Constants'!$B$9)/(SUM(B13:G13))</x:f>
        <x:v>8.272727272727272</x:v>
      </x:c>
      <x:c r="J13" s="48" t="n">
        <x:f>100*SQRT((B13/(SUM(B13:G13)))*(1-'Element Constants'!$C$4/H13)^2+(C13/(SUM(B13:G13)))*(1-'Element Constants'!$C$5/H13)^2+(D13/(SUM(B13:G13)))*(1-'Element Constants'!$C$6/H13)^2+(E13/(SUM(B13:G13)))*(1-'Element Constants'!$C$7/H13)^2+(F13/(SUM(B13:G13)))*(1-'Element Constants'!$C$8/H13)^2+(G13/(SUM(B13:G13)))*(1-'Element Constants'!$C$9/H13)^2)</x:f>
        <x:v>5.283925630863763</x:v>
      </x:c>
      <x:c r="K13" s="48" t="n">
        <x:f>(B13*'Element Constants'!$D$4+C13*'Element Constants'!$D$5+D13*'Element Constants'!$D$6+E13*'Element Constants'!$D$7+F13*'Element Constants'!$D$8+G13*'Element Constants'!$D$9)/(B13*'Element Constants'!$D$4/'Element Constants'!$E$4+C13*'Element Constants'!$D$5/'Element Constants'!$E$5+D13*'Element Constants'!$D$6/'Element Constants'!$E$6+E13*'Element Constants'!$D$7/'Element Constants'!$E$7+F13*'Element Constants'!$D$8/'Element Constants'!$E$8+G13*'Element Constants'!$D$9/'Element Constants'!$E$9)</x:f>
        <x:v>7.2106245559471045</x:v>
      </x:c>
      <x:c r="L13" s="48" t="n">
        <x:v>346.17</x:v>
      </x:c>
      <x:c r="M13" s="48" t="b">
        <x:f>L13&gt;=450</x:f>
        <x:v>0</x:v>
      </x:c>
      <x:c r="N13" s="48" t="n">
        <x:f>L13/K13</x:f>
        <x:v>48.008324010503294</x:v>
      </x:c>
      <x:c r="O13" s="48" t="n">
        <x:f>(B13*'Element Constants'!$D$4*'Element Constants'!$F$4+C13*'Element Constants'!$D$5*'Element Constants'!$F$5+D13*'Element Constants'!$D$6*'Element Constants'!$F$6+E13*'Element Constants'!$D$7*'Element Constants'!$F$7+F13*'Element Constants'!$D$8*'Element Constants'!$F$8+G13*'Element Constants'!$D$9*'Element Constants'!$F$9)/(B13*'Element Constants'!$D$4+C13*'Element Constants'!$D$5+D13*'Element Constants'!$D$6+E13*'Element Constants'!$D$7+F13*'Element Constants'!$D$8+G13*'Element Constants'!$D$9)</x:f>
        <x:v>11.637152144185846</x:v>
      </x:c>
      <x:c r="P13" s="48" t="n">
        <x:f>O13/MIN($O$7:$O$21)</x:f>
        <x:v>3.8341491453255814</x:v>
      </x:c>
      <x:c r="Q13" s="30"/>
      <x:c r="R13" s="2"/>
      <x:c r="S13" s="2"/>
      <x:c r="T13" s="2"/>
      <x:c r="U13" s="2"/>
      <x:c r="V13" s="2"/>
      <x:c r="W13" s="2"/>
      <x:c r="X13" s="2"/>
      <x:c r="Y13" s="2"/>
      <x:c r="Z13" s="2"/>
    </x:row>
    <x:row r="14">
      <x:c r="A14" s="30" t="str">
        <x:v>H</x:v>
      </x:c>
      <x:c r="B14" s="48" t="n">
        <x:v>20</x:v>
      </x:c>
      <x:c r="C14" s="48" t="n">
        <x:v>26.7</x:v>
      </x:c>
      <x:c r="D14" s="48" t="n">
        <x:v>0</x:v>
      </x:c>
      <x:c r="E14" s="48" t="n">
        <x:v>0</x:v>
      </x:c>
      <x:c r="F14" s="48" t="n">
        <x:v>26.7</x:v>
      </x:c>
      <x:c r="G14" s="48" t="n">
        <x:v>26.7</x:v>
      </x:c>
      <x:c r="H14" s="48" t="n">
        <x:f>(B14*'Element Constants'!$C$4+C14*'Element Constants'!$C$5+D14*'Element Constants'!$C$6+E14*'Element Constants'!$C$7+F14*'Element Constants'!$C$8+G14*'Element Constants'!$C$9)/(SUM(B14:G14))</x:f>
        <x:v>128.59640359640358</x:v>
      </x:c>
      <x:c r="I14" s="48" t="n">
        <x:f>(B14*'Element Constants'!$B$4+C14*'Element Constants'!$B$5+D14*'Element Constants'!$B$6+E14*'Element Constants'!$B$7+F14*'Element Constants'!$B$8+G14*'Element Constants'!$B$9)/(SUM(B14:G14))</x:f>
        <x:v>7.8011988011988</x:v>
      </x:c>
      <x:c r="J14" s="48" t="n">
        <x:f>100*SQRT((B14/(SUM(B14:G14)))*(1-'Element Constants'!$C$4/H14)^2+(C14/(SUM(B14:G14)))*(1-'Element Constants'!$C$5/H14)^2+(D14/(SUM(B14:G14)))*(1-'Element Constants'!$C$6/H14)^2+(E14/(SUM(B14:G14)))*(1-'Element Constants'!$C$7/H14)^2+(F14/(SUM(B14:G14)))*(1-'Element Constants'!$C$8/H14)^2+(G14/(SUM(B14:G14)))*(1-'Element Constants'!$C$9/H14)^2)</x:f>
        <x:v>5.625558991101926</x:v>
      </x:c>
      <x:c r="K14" s="48" t="n">
        <x:f>(B14*'Element Constants'!$D$4+C14*'Element Constants'!$D$5+D14*'Element Constants'!$D$6+E14*'Element Constants'!$D$7+F14*'Element Constants'!$D$8+G14*'Element Constants'!$D$9)/(B14*'Element Constants'!$D$4/'Element Constants'!$E$4+C14*'Element Constants'!$D$5/'Element Constants'!$E$5+D14*'Element Constants'!$D$6/'Element Constants'!$E$6+E14*'Element Constants'!$D$7/'Element Constants'!$E$7+F14*'Element Constants'!$D$8/'Element Constants'!$E$8+G14*'Element Constants'!$D$9/'Element Constants'!$E$9)</x:f>
        <x:v>6.969907641485769</x:v>
      </x:c>
      <x:c r="L14" s="48" t="n">
        <x:v>469.63</x:v>
      </x:c>
      <x:c r="M14" s="48" t="b">
        <x:f>L14&gt;=450</x:f>
        <x:v>1</x:v>
      </x:c>
      <x:c r="N14" s="48" t="n">
        <x:f>L14/K14</x:f>
        <x:v>67.3796589792242</x:v>
      </x:c>
      <x:c r="O14" s="48" t="n">
        <x:f>(B14*'Element Constants'!$D$4*'Element Constants'!$F$4+C14*'Element Constants'!$D$5*'Element Constants'!$F$5+D14*'Element Constants'!$D$6*'Element Constants'!$F$6+E14*'Element Constants'!$D$7*'Element Constants'!$F$7+F14*'Element Constants'!$D$8*'Element Constants'!$F$8+G14*'Element Constants'!$D$9*'Element Constants'!$F$9)/(B14*'Element Constants'!$D$4+C14*'Element Constants'!$D$5+D14*'Element Constants'!$D$6+E14*'Element Constants'!$D$7+F14*'Element Constants'!$D$8+G14*'Element Constants'!$D$9)</x:f>
        <x:v>11.13436243529633</x:v>
      </x:c>
      <x:c r="P14" s="48" t="n">
        <x:f>O14/MIN($O$7:$O$21)</x:f>
        <x:v>3.6684925732766898</x:v>
      </x:c>
      <x:c r="Q14" s="30"/>
      <x:c r="R14" s="2"/>
      <x:c r="S14" s="2"/>
      <x:c r="T14" s="2"/>
      <x:c r="U14" s="2"/>
      <x:c r="V14" s="2"/>
      <x:c r="W14" s="2"/>
      <x:c r="X14" s="2"/>
      <x:c r="Y14" s="2"/>
      <x:c r="Z14" s="2"/>
    </x:row>
    <x:row r="15">
      <x:c r="A15" s="30" t="str">
        <x:v>I</x:v>
      </x:c>
      <x:c r="B15" s="48" t="n">
        <x:v>10</x:v>
      </x:c>
      <x:c r="C15" s="48" t="n">
        <x:v>0</x:v>
      </x:c>
      <x:c r="D15" s="48" t="n">
        <x:v>35</x:v>
      </x:c>
      <x:c r="E15" s="48" t="n">
        <x:v>24</x:v>
      </x:c>
      <x:c r="F15" s="48" t="n">
        <x:v>5</x:v>
      </x:c>
      <x:c r="G15" s="48" t="n">
        <x:v>26</x:v>
      </x:c>
      <x:c r="H15" s="48" t="n">
        <x:f>(B15*'Element Constants'!$C$4+C15*'Element Constants'!$C$5+D15*'Element Constants'!$C$6+E15*'Element Constants'!$C$7+F15*'Element Constants'!$C$8+G15*'Element Constants'!$C$9)/(SUM(B15:G15))</x:f>
        <x:v>128.36</x:v>
      </x:c>
      <x:c r="I15" s="48" t="n">
        <x:f>(B15*'Element Constants'!$B$4+C15*'Element Constants'!$B$5+D15*'Element Constants'!$B$6+E15*'Element Constants'!$B$7+F15*'Element Constants'!$B$8+G15*'Element Constants'!$B$9)/(SUM(B15:G15))</x:f>
        <x:v>8.04</x:v>
      </x:c>
      <x:c r="J15" s="48" t="n">
        <x:f>100*SQRT((B15/(SUM(B15:G15)))*(1-'Element Constants'!$C$4/H15)^2+(C15/(SUM(B15:G15)))*(1-'Element Constants'!$C$5/H15)^2+(D15/(SUM(B15:G15)))*(1-'Element Constants'!$C$6/H15)^2+(E15/(SUM(B15:G15)))*(1-'Element Constants'!$C$7/H15)^2+(F15/(SUM(B15:G15)))*(1-'Element Constants'!$C$8/H15)^2+(G15/(SUM(B15:G15)))*(1-'Element Constants'!$C$9/H15)^2)</x:f>
        <x:v>4.027847511423382</x:v>
      </x:c>
      <x:c r="K15" s="48" t="n">
        <x:f>(B15*'Element Constants'!$D$4+C15*'Element Constants'!$D$5+D15*'Element Constants'!$D$6+E15*'Element Constants'!$D$7+F15*'Element Constants'!$D$8+G15*'Element Constants'!$D$9)/(B15*'Element Constants'!$D$4/'Element Constants'!$E$4+C15*'Element Constants'!$D$5/'Element Constants'!$E$5+D15*'Element Constants'!$D$6/'Element Constants'!$E$6+E15*'Element Constants'!$D$7/'Element Constants'!$E$7+F15*'Element Constants'!$D$8/'Element Constants'!$E$8+G15*'Element Constants'!$D$9/'Element Constants'!$E$9)</x:f>
        <x:v>7.424443624842022</x:v>
      </x:c>
      <x:c r="L15" s="48" t="n">
        <x:v>470.0733333333333</x:v>
      </x:c>
      <x:c r="M15" s="48" t="b">
        <x:f>L15&gt;=450</x:f>
        <x:v>1</x:v>
      </x:c>
      <x:c r="N15" s="48" t="n">
        <x:f>L15/K15</x:f>
        <x:v>63.31428415194352</x:v>
      </x:c>
      <x:c r="O15" s="48" t="n">
        <x:f>(B15*'Element Constants'!$D$4*'Element Constants'!$F$4+C15*'Element Constants'!$D$5*'Element Constants'!$F$5+D15*'Element Constants'!$D$6*'Element Constants'!$F$6+E15*'Element Constants'!$D$7*'Element Constants'!$F$7+F15*'Element Constants'!$D$8*'Element Constants'!$F$8+G15*'Element Constants'!$D$9*'Element Constants'!$F$9)/(B15*'Element Constants'!$D$4+C15*'Element Constants'!$D$5+D15*'Element Constants'!$D$6+E15*'Element Constants'!$D$7+F15*'Element Constants'!$D$8+G15*'Element Constants'!$D$9)</x:f>
        <x:v>6.057087140326876</x:v>
      </x:c>
      <x:c r="P15" s="48" t="n">
        <x:f>O15/MIN($O$7:$O$21)</x:f>
        <x:v>1.9956579749496464</x:v>
      </x:c>
      <x:c r="Q15" s="30"/>
      <x:c r="R15" s="2"/>
      <x:c r="S15" s="2"/>
      <x:c r="T15" s="2"/>
      <x:c r="U15" s="2"/>
      <x:c r="V15" s="2"/>
      <x:c r="W15" s="2"/>
      <x:c r="X15" s="2"/>
      <x:c r="Y15" s="2"/>
      <x:c r="Z15" s="2"/>
    </x:row>
    <x:row r="16">
      <x:c r="A16" s="30" t="str">
        <x:v>J</x:v>
      </x:c>
      <x:c r="B16" s="48" t="n">
        <x:v>20.6</x:v>
      </x:c>
      <x:c r="C16" s="48" t="n">
        <x:v>15.9</x:v>
      </x:c>
      <x:c r="D16" s="48" t="n">
        <x:v>15.9</x:v>
      </x:c>
      <x:c r="E16" s="48" t="n">
        <x:v>15.9</x:v>
      </x:c>
      <x:c r="F16" s="48" t="n">
        <x:v>15.9</x:v>
      </x:c>
      <x:c r="G16" s="48" t="n">
        <x:v>15.9</x:v>
      </x:c>
      <x:c r="H16" s="48" t="n">
        <x:f>(B16*'Element Constants'!$C$4+C16*'Element Constants'!$C$5+D16*'Element Constants'!$C$6+E16*'Element Constants'!$C$7+F16*'Element Constants'!$C$8+G16*'Element Constants'!$C$9)/(SUM(B16:G16))</x:f>
        <x:v>129.65734265734267</x:v>
      </x:c>
      <x:c r="I16" s="48" t="n">
        <x:f>(B16*'Element Constants'!$B$4+C16*'Element Constants'!$B$5+D16*'Element Constants'!$B$6+E16*'Element Constants'!$B$7+F16*'Element Constants'!$B$8+G16*'Element Constants'!$B$9)/(SUM(B16:G16))</x:f>
        <x:v>7.606393606393607</x:v>
      </x:c>
      <x:c r="J16" s="48" t="n">
        <x:f>100*SQRT((B16/(SUM(B16:G16)))*(1-'Element Constants'!$C$4/H16)^2+(C16/(SUM(B16:G16)))*(1-'Element Constants'!$C$5/H16)^2+(D16/(SUM(B16:G16)))*(1-'Element Constants'!$C$6/H16)^2+(E16/(SUM(B16:G16)))*(1-'Element Constants'!$C$7/H16)^2+(F16/(SUM(B16:G16)))*(1-'Element Constants'!$C$8/H16)^2+(G16/(SUM(B16:G16)))*(1-'Element Constants'!$C$9/H16)^2)</x:f>
        <x:v>5.352553600459017</x:v>
      </x:c>
      <x:c r="K16" s="48" t="n">
        <x:f>(B16*'Element Constants'!$D$4+C16*'Element Constants'!$D$5+D16*'Element Constants'!$D$6+E16*'Element Constants'!$D$7+F16*'Element Constants'!$D$8+G16*'Element Constants'!$D$9)/(B16*'Element Constants'!$D$4/'Element Constants'!$E$4+C16*'Element Constants'!$D$5/'Element Constants'!$E$5+D16*'Element Constants'!$D$6/'Element Constants'!$E$6+E16*'Element Constants'!$D$7/'Element Constants'!$E$7+F16*'Element Constants'!$D$8/'Element Constants'!$E$8+G16*'Element Constants'!$D$9/'Element Constants'!$E$9)</x:f>
        <x:v>6.809846228229268</x:v>
      </x:c>
      <x:c r="L16" s="48" t="n">
        <x:v>502.37666666666667</x:v>
      </x:c>
      <x:c r="M16" s="48" t="b">
        <x:f>L16&gt;=450</x:f>
        <x:v>1</x:v>
      </x:c>
      <x:c r="N16" s="48" t="n">
        <x:f>L16/K16</x:f>
        <x:v>73.77210142927079</x:v>
      </x:c>
      <x:c r="O16" s="48" t="n">
        <x:f>(B16*'Element Constants'!$D$4*'Element Constants'!$F$4+C16*'Element Constants'!$D$5*'Element Constants'!$F$5+D16*'Element Constants'!$D$6*'Element Constants'!$F$6+E16*'Element Constants'!$D$7*'Element Constants'!$F$7+F16*'Element Constants'!$D$8*'Element Constants'!$F$8+G16*'Element Constants'!$D$9*'Element Constants'!$F$9)/(B16*'Element Constants'!$D$4+C16*'Element Constants'!$D$5+D16*'Element Constants'!$D$6+E16*'Element Constants'!$D$7+F16*'Element Constants'!$D$8+G16*'Element Constants'!$D$9)</x:f>
        <x:v>8.718011077721869</x:v>
      </x:c>
      <x:c r="P16" s="48" t="n">
        <x:f>O16/MIN($O$7:$O$21)</x:f>
        <x:v>2.872365533115989</x:v>
      </x:c>
      <x:c r="Q16" s="30"/>
      <x:c r="R16" s="2"/>
      <x:c r="S16" s="2"/>
      <x:c r="T16" s="2"/>
      <x:c r="U16" s="2"/>
      <x:c r="V16" s="2"/>
      <x:c r="W16" s="2"/>
      <x:c r="X16" s="2"/>
      <x:c r="Y16" s="2"/>
      <x:c r="Z16" s="2"/>
    </x:row>
    <x:row r="17">
      <x:c r="A17" s="30" t="str">
        <x:v>K</x:v>
      </x:c>
      <x:c r="B17" s="48" t="n">
        <x:v>20</x:v>
      </x:c>
      <x:c r="C17" s="48" t="n">
        <x:v>20</x:v>
      </x:c>
      <x:c r="D17" s="48" t="n">
        <x:v>20</x:v>
      </x:c>
      <x:c r="E17" s="48" t="n">
        <x:v>0</x:v>
      </x:c>
      <x:c r="F17" s="48" t="n">
        <x:v>20</x:v>
      </x:c>
      <x:c r="G17" s="48" t="n">
        <x:v>20</x:v>
      </x:c>
      <x:c r="H17" s="48" t="n">
        <x:f>(B17*'Element Constants'!$C$4+C17*'Element Constants'!$C$5+D17*'Element Constants'!$C$6+E17*'Element Constants'!$C$7+F17*'Element Constants'!$C$8+G17*'Element Constants'!$C$9)/(SUM(B17:G17))</x:f>
        <x:v>129.2</x:v>
      </x:c>
      <x:c r="I17" s="48" t="n">
        <x:f>(B17*'Element Constants'!$B$4+C17*'Element Constants'!$B$5+D17*'Element Constants'!$B$6+E17*'Element Constants'!$B$7+F17*'Element Constants'!$B$8+G17*'Element Constants'!$B$9)/(SUM(B17:G17))</x:f>
        <x:v>7.2</x:v>
      </x:c>
      <x:c r="J17" s="48" t="n">
        <x:f>100*SQRT((B17/(SUM(B17:G17)))*(1-'Element Constants'!$C$4/H17)^2+(C17/(SUM(B17:G17)))*(1-'Element Constants'!$C$5/H17)^2+(D17/(SUM(B17:G17)))*(1-'Element Constants'!$C$6/H17)^2+(E17/(SUM(B17:G17)))*(1-'Element Constants'!$C$7/H17)^2+(F17/(SUM(B17:G17)))*(1-'Element Constants'!$C$8/H17)^2+(G17/(SUM(B17:G17)))*(1-'Element Constants'!$C$9/H17)^2)</x:f>
        <x:v>5.437822931966037</x:v>
      </x:c>
      <x:c r="K17" s="48" t="n">
        <x:f>(B17*'Element Constants'!$D$4+C17*'Element Constants'!$D$5+D17*'Element Constants'!$D$6+E17*'Element Constants'!$D$7+F17*'Element Constants'!$D$8+G17*'Element Constants'!$D$9)/(B17*'Element Constants'!$D$4/'Element Constants'!$E$4+C17*'Element Constants'!$D$5/'Element Constants'!$E$5+D17*'Element Constants'!$D$6/'Element Constants'!$E$6+E17*'Element Constants'!$D$7/'Element Constants'!$E$7+F17*'Element Constants'!$D$8/'Element Constants'!$E$8+G17*'Element Constants'!$D$9/'Element Constants'!$E$9)</x:f>
        <x:v>6.727000452000411</x:v>
      </x:c>
      <x:c r="L17" s="48" t="n">
        <x:v>535.14</x:v>
      </x:c>
      <x:c r="M17" s="48" t="b">
        <x:f>L17&gt;=450</x:f>
        <x:v>1</x:v>
      </x:c>
      <x:c r="N17" s="48" t="n">
        <x:f>L17/K17</x:f>
        <x:v>79.551057535735</x:v>
      </x:c>
      <x:c r="O17" s="48" t="n">
        <x:f>(B17*'Element Constants'!$D$4*'Element Constants'!$F$4+C17*'Element Constants'!$D$5*'Element Constants'!$F$5+D17*'Element Constants'!$D$6*'Element Constants'!$F$6+E17*'Element Constants'!$D$7*'Element Constants'!$F$7+F17*'Element Constants'!$D$8*'Element Constants'!$F$8+G17*'Element Constants'!$D$9*'Element Constants'!$F$9)/(B17*'Element Constants'!$D$4+C17*'Element Constants'!$D$5+D17*'Element Constants'!$D$6+E17*'Element Constants'!$D$7+F17*'Element Constants'!$D$8+G17*'Element Constants'!$D$9)</x:f>
        <x:v>9.110990448771474</x:v>
      </x:c>
      <x:c r="P17" s="48" t="n">
        <x:f>O17/MIN($O$7:$O$21)</x:f>
        <x:v>3.001842358800805</x:v>
      </x:c>
      <x:c r="Q17" s="30"/>
      <x:c r="R17" s="2"/>
      <x:c r="S17" s="2"/>
      <x:c r="T17" s="2"/>
      <x:c r="U17" s="2"/>
      <x:c r="V17" s="2"/>
      <x:c r="W17" s="2"/>
      <x:c r="X17" s="2"/>
      <x:c r="Y17" s="2"/>
      <x:c r="Z17" s="2"/>
    </x:row>
    <x:row r="18">
      <x:c r="A18" s="30" t="str">
        <x:v>L</x:v>
      </x:c>
      <x:c r="B18" s="48" t="n">
        <x:v>27.3</x:v>
      </x:c>
      <x:c r="C18" s="48" t="n">
        <x:v>0</x:v>
      </x:c>
      <x:c r="D18" s="48" t="n">
        <x:v>18.2</x:v>
      </x:c>
      <x:c r="E18" s="48" t="n">
        <x:v>18.2</x:v>
      </x:c>
      <x:c r="F18" s="48" t="n">
        <x:v>18.2</x:v>
      </x:c>
      <x:c r="G18" s="48" t="n">
        <x:v>18.2</x:v>
      </x:c>
      <x:c r="H18" s="48" t="n">
        <x:f>(B18*'Element Constants'!$C$4+C18*'Element Constants'!$C$5+D18*'Element Constants'!$C$6+E18*'Element Constants'!$C$7+F18*'Element Constants'!$C$8+G18*'Element Constants'!$C$9)/(SUM(B18:G18))</x:f>
        <x:v>130.99999999999997</x:v>
      </x:c>
      <x:c r="I18" s="48" t="n">
        <x:f>(B18*'Element Constants'!$B$4+C18*'Element Constants'!$B$5+D18*'Element Constants'!$B$6+E18*'Element Constants'!$B$7+F18*'Element Constants'!$B$8+G18*'Element Constants'!$B$9)/(SUM(B18:G18))</x:f>
        <x:v>7.181818181818181</x:v>
      </x:c>
      <x:c r="J18" s="48" t="n">
        <x:f>100*SQRT((B18/(SUM(B18:G18)))*(1-'Element Constants'!$C$4/H18)^2+(C18/(SUM(B18:G18)))*(1-'Element Constants'!$C$5/H18)^2+(D18/(SUM(B18:G18)))*(1-'Element Constants'!$C$6/H18)^2+(E18/(SUM(B18:G18)))*(1-'Element Constants'!$C$7/H18)^2+(F18/(SUM(B18:G18)))*(1-'Element Constants'!$C$8/H18)^2+(G18/(SUM(B18:G18)))*(1-'Element Constants'!$C$9/H18)^2)</x:f>
        <x:v>5.712454025609069</x:v>
      </x:c>
      <x:c r="K18" s="48" t="n">
        <x:f>(B18*'Element Constants'!$D$4+C18*'Element Constants'!$D$5+D18*'Element Constants'!$D$6+E18*'Element Constants'!$D$7+F18*'Element Constants'!$D$8+G18*'Element Constants'!$D$9)/(B18*'Element Constants'!$D$4/'Element Constants'!$E$4+C18*'Element Constants'!$D$5/'Element Constants'!$E$5+D18*'Element Constants'!$D$6/'Element Constants'!$E$6+E18*'Element Constants'!$D$7/'Element Constants'!$E$7+F18*'Element Constants'!$D$8/'Element Constants'!$E$8+G18*'Element Constants'!$D$9/'Element Constants'!$E$9)</x:f>
        <x:v>6.29268466049219</x:v>
      </x:c>
      <x:c r="L18" s="48" t="n">
        <x:v>543.2133333333334</x:v>
      </x:c>
      <x:c r="M18" s="48" t="b">
        <x:f>L18&gt;=450</x:f>
        <x:v>1</x:v>
      </x:c>
      <x:c r="N18" s="48" t="n">
        <x:f>L18/K18</x:f>
        <x:v>86.32457570038878</x:v>
      </x:c>
      <x:c r="O18" s="48" t="n">
        <x:f>(B18*'Element Constants'!$D$4*'Element Constants'!$F$4+C18*'Element Constants'!$D$5*'Element Constants'!$F$5+D18*'Element Constants'!$D$6*'Element Constants'!$F$6+E18*'Element Constants'!$D$7*'Element Constants'!$F$7+F18*'Element Constants'!$D$8*'Element Constants'!$F$8+G18*'Element Constants'!$D$9*'Element Constants'!$F$9)/(B18*'Element Constants'!$D$4+C18*'Element Constants'!$D$5+D18*'Element Constants'!$D$6+E18*'Element Constants'!$D$7+F18*'Element Constants'!$D$8+G18*'Element Constants'!$D$9)</x:f>
        <x:v>5.034440603542193</x:v>
      </x:c>
      <x:c r="P18" s="48" t="n">
        <x:f>O18/MIN($O$7:$O$21)</x:f>
        <x:v>1.6587216441015395</x:v>
      </x:c>
      <x:c r="Q18" s="30"/>
      <x:c r="R18" s="2"/>
      <x:c r="S18" s="2"/>
      <x:c r="T18" s="2"/>
      <x:c r="U18" s="2"/>
      <x:c r="V18" s="2"/>
      <x:c r="W18" s="2"/>
      <x:c r="X18" s="2"/>
      <x:c r="Y18" s="2"/>
      <x:c r="Z18" s="2"/>
    </x:row>
    <x:row r="19">
      <x:c r="A19" s="30" t="str">
        <x:v>M</x:v>
      </x:c>
      <x:c r="B19" s="48" t="n">
        <x:v>23.8</x:v>
      </x:c>
      <x:c r="C19" s="48" t="n">
        <x:v>23.8</x:v>
      </x:c>
      <x:c r="D19" s="48" t="n">
        <x:v>23.8</x:v>
      </x:c>
      <x:c r="E19" s="48" t="n">
        <x:v>0</x:v>
      </x:c>
      <x:c r="F19" s="48" t="n">
        <x:v>5</x:v>
      </x:c>
      <x:c r="G19" s="48" t="n">
        <x:v>23.8</x:v>
      </x:c>
      <x:c r="H19" s="48" t="n">
        <x:f>(B19*'Element Constants'!$C$4+C19*'Element Constants'!$C$5+D19*'Element Constants'!$C$6+E19*'Element Constants'!$C$7+F19*'Element Constants'!$C$8+G19*'Element Constants'!$C$9)/(SUM(B19:G19))</x:f>
        <x:v>129.8003992015968</x:v>
      </x:c>
      <x:c r="I19" s="48" t="n">
        <x:f>(B19*'Element Constants'!$B$4+C19*'Element Constants'!$B$5+D19*'Element Constants'!$B$6+E19*'Element Constants'!$B$7+F19*'Element Constants'!$B$8+G19*'Element Constants'!$B$9)/(SUM(B19:G19))</x:f>
        <x:v>7.049900199600799</x:v>
      </x:c>
      <x:c r="J19" s="48" t="n">
        <x:f>100*SQRT((B19/(SUM(B19:G19)))*(1-'Element Constants'!$C$4/H19)^2+(C19/(SUM(B19:G19)))*(1-'Element Constants'!$C$5/H19)^2+(D19/(SUM(B19:G19)))*(1-'Element Constants'!$C$6/H19)^2+(E19/(SUM(B19:G19)))*(1-'Element Constants'!$C$7/H19)^2+(F19/(SUM(B19:G19)))*(1-'Element Constants'!$C$8/H19)^2+(G19/(SUM(B19:G19)))*(1-'Element Constants'!$C$9/H19)^2)</x:f>
        <x:v>5.7826923099649745</x:v>
      </x:c>
      <x:c r="K19" s="48" t="n">
        <x:f>(B19*'Element Constants'!$D$4+C19*'Element Constants'!$D$5+D19*'Element Constants'!$D$6+E19*'Element Constants'!$D$7+F19*'Element Constants'!$D$8+G19*'Element Constants'!$D$9)/(B19*'Element Constants'!$D$4/'Element Constants'!$E$4+C19*'Element Constants'!$D$5/'Element Constants'!$E$5+D19*'Element Constants'!$D$6/'Element Constants'!$E$6+E19*'Element Constants'!$D$7/'Element Constants'!$E$7+F19*'Element Constants'!$D$8/'Element Constants'!$E$8+G19*'Element Constants'!$D$9/'Element Constants'!$E$9)</x:f>
        <x:v>6.525722327105926</x:v>
      </x:c>
      <x:c r="L19" s="48" t="n">
        <x:v>614.14</x:v>
      </x:c>
      <x:c r="M19" s="48" t="b">
        <x:f>L19&gt;=450</x:f>
        <x:v>1</x:v>
      </x:c>
      <x:c r="N19" s="48" t="n">
        <x:f>L19/K19</x:f>
        <x:v>94.11065460892253</x:v>
      </x:c>
      <x:c r="O19" s="48" t="n">
        <x:f>(B19*'Element Constants'!$D$4*'Element Constants'!$F$4+C19*'Element Constants'!$D$5*'Element Constants'!$F$5+D19*'Element Constants'!$D$6*'Element Constants'!$F$6+E19*'Element Constants'!$D$7*'Element Constants'!$F$7+F19*'Element Constants'!$D$8*'Element Constants'!$F$8+G19*'Element Constants'!$D$9*'Element Constants'!$F$9)/(B19*'Element Constants'!$D$4+C19*'Element Constants'!$D$5+D19*'Element Constants'!$D$6+E19*'Element Constants'!$D$7+F19*'Element Constants'!$D$8+G19*'Element Constants'!$D$9)</x:f>
        <x:v>10.828400661732156</x:v>
      </x:c>
      <x:c r="P19" s="48" t="n">
        <x:f>O19/MIN($O$7:$O$21)</x:f>
        <x:v>3.567685858877971</x:v>
      </x:c>
      <x:c r="Q19" s="30"/>
      <x:c r="R19" s="2"/>
      <x:c r="S19" s="2"/>
      <x:c r="T19" s="2"/>
      <x:c r="U19" s="2"/>
      <x:c r="V19" s="2"/>
      <x:c r="W19" s="2"/>
      <x:c r="X19" s="2"/>
      <x:c r="Y19" s="2"/>
      <x:c r="Z19" s="2"/>
    </x:row>
    <x:row r="20">
      <x:c r="A20" s="30" t="str">
        <x:v>N</x:v>
      </x:c>
      <x:c r="B20" s="48" t="n">
        <x:v>20</x:v>
      </x:c>
      <x:c r="C20" s="48" t="n">
        <x:v>26.7</x:v>
      </x:c>
      <x:c r="D20" s="48" t="n">
        <x:v>26.7</x:v>
      </x:c>
      <x:c r="E20" s="48" t="n">
        <x:v>0</x:v>
      </x:c>
      <x:c r="F20" s="48" t="n">
        <x:v>26.7</x:v>
      </x:c>
      <x:c r="G20" s="48" t="n">
        <x:v>0</x:v>
      </x:c>
      <x:c r="H20" s="48" t="n">
        <x:f>(B20*'Element Constants'!$C$4+C20*'Element Constants'!$C$5+D20*'Element Constants'!$C$6+E20*'Element Constants'!$C$7+F20*'Element Constants'!$C$8+G20*'Element Constants'!$C$9)/(SUM(B20:G20))</x:f>
        <x:v>129.66333666333665</x:v>
      </x:c>
      <x:c r="I20" s="48" t="n">
        <x:f>(B20*'Element Constants'!$B$4+C20*'Element Constants'!$B$5+D20*'Element Constants'!$B$6+E20*'Element Constants'!$B$7+F20*'Element Constants'!$B$8+G20*'Element Constants'!$B$9)/(SUM(B20:G20))</x:f>
        <x:v>6.734265734265732</x:v>
      </x:c>
      <x:c r="J20" s="48" t="n">
        <x:f>100*SQRT((B20/(SUM(B20:G20)))*(1-'Element Constants'!$C$4/H20)^2+(C20/(SUM(B20:G20)))*(1-'Element Constants'!$C$5/H20)^2+(D20/(SUM(B20:G20)))*(1-'Element Constants'!$C$6/H20)^2+(E20/(SUM(B20:G20)))*(1-'Element Constants'!$C$7/H20)^2+(F20/(SUM(B20:G20)))*(1-'Element Constants'!$C$8/H20)^2+(G20/(SUM(B20:G20)))*(1-'Element Constants'!$C$9/H20)^2)</x:f>
        <x:v>5.211121589479014</x:v>
      </x:c>
      <x:c r="K20" s="48" t="n">
        <x:f>(B20*'Element Constants'!$D$4+C20*'Element Constants'!$D$5+D20*'Element Constants'!$D$6+E20*'Element Constants'!$D$7+F20*'Element Constants'!$D$8+G20*'Element Constants'!$D$9)/(B20*'Element Constants'!$D$4/'Element Constants'!$E$4+C20*'Element Constants'!$D$5/'Element Constants'!$E$5+D20*'Element Constants'!$D$6/'Element Constants'!$E$6+E20*'Element Constants'!$D$7/'Element Constants'!$E$7+F20*'Element Constants'!$D$8/'Element Constants'!$E$8+G20*'Element Constants'!$D$9/'Element Constants'!$E$9)</x:f>
        <x:v>6.576744141217828</x:v>
      </x:c>
      <x:c r="L20" s="48" t="n">
        <x:v>645.5666666666667</x:v>
      </x:c>
      <x:c r="M20" s="48" t="b">
        <x:f>L20&gt;=450</x:f>
        <x:v>1</x:v>
      </x:c>
      <x:c r="N20" s="48" t="n">
        <x:f>L20/K20</x:f>
        <x:v>98.15900585530851</x:v>
      </x:c>
      <x:c r="O20" s="48" t="n">
        <x:f>(B20*'Element Constants'!$D$4*'Element Constants'!$F$4+C20*'Element Constants'!$D$5*'Element Constants'!$F$5+D20*'Element Constants'!$D$6*'Element Constants'!$F$6+E20*'Element Constants'!$D$7*'Element Constants'!$F$7+F20*'Element Constants'!$D$8*'Element Constants'!$F$8+G20*'Element Constants'!$D$9*'Element Constants'!$F$9)/(B20*'Element Constants'!$D$4+C20*'Element Constants'!$D$5+D20*'Element Constants'!$D$6+E20*'Element Constants'!$D$7+F20*'Element Constants'!$D$8+G20*'Element Constants'!$D$9)</x:f>
        <x:v>9.089421641322694</x:v>
      </x:c>
      <x:c r="P20" s="48" t="n">
        <x:f>O20/MIN($O$7:$O$21)</x:f>
        <x:v>2.9947359788531345</x:v>
      </x:c>
      <x:c r="Q20" s="30"/>
      <x:c r="R20" s="2"/>
      <x:c r="S20" s="2"/>
      <x:c r="T20" s="2"/>
      <x:c r="U20" s="2"/>
      <x:c r="V20" s="2"/>
      <x:c r="W20" s="2"/>
      <x:c r="X20" s="2"/>
      <x:c r="Y20" s="2"/>
      <x:c r="Z20" s="2"/>
    </x:row>
    <x:row r="21">
      <x:c r="A21" s="30" t="str">
        <x:v>O</x:v>
      </x:c>
      <x:c r="B21" s="48" t="n">
        <x:v>37.5</x:v>
      </x:c>
      <x:c r="C21" s="48" t="n">
        <x:v>12.5</x:v>
      </x:c>
      <x:c r="D21" s="48" t="n">
        <x:v>12.5</x:v>
      </x:c>
      <x:c r="E21" s="48" t="n">
        <x:v>12.5</x:v>
      </x:c>
      <x:c r="F21" s="48" t="n">
        <x:v>12.5</x:v>
      </x:c>
      <x:c r="G21" s="48" t="n">
        <x:v>12.5</x:v>
      </x:c>
      <x:c r="H21" s="48" t="n">
        <x:f>(B21*'Element Constants'!$C$4+C21*'Element Constants'!$C$5+D21*'Element Constants'!$C$6+E21*'Element Constants'!$C$7+F21*'Element Constants'!$C$8+G21*'Element Constants'!$C$9)/(SUM(B21:G21))</x:f>
        <x:v>132.5</x:v>
      </x:c>
      <x:c r="I21" s="48" t="n">
        <x:f>(B21*'Element Constants'!$B$4+C21*'Element Constants'!$B$5+D21*'Element Constants'!$B$6+E21*'Element Constants'!$B$7+F21*'Element Constants'!$B$8+G21*'Element Constants'!$B$9)/(SUM(B21:G21))</x:f>
        <x:v>6.625</x:v>
      </x:c>
      <x:c r="J21" s="48" t="n">
        <x:f>100*SQRT((B21/(SUM(B21:G21)))*(1-'Element Constants'!$C$4/H21)^2+(C21/(SUM(B21:G21)))*(1-'Element Constants'!$C$5/H21)^2+(D21/(SUM(B21:G21)))*(1-'Element Constants'!$C$6/H21)^2+(E21/(SUM(B21:G21)))*(1-'Element Constants'!$C$7/H21)^2+(F21/(SUM(B21:G21)))*(1-'Element Constants'!$C$8/H21)^2+(G21/(SUM(B21:G21)))*(1-'Element Constants'!$C$9/H21)^2)</x:f>
        <x:v>6.2121047672280465</x:v>
      </x:c>
      <x:c r="K21" s="48" t="n">
        <x:f>(B21*'Element Constants'!$D$4+C21*'Element Constants'!$D$5+D21*'Element Constants'!$D$6+E21*'Element Constants'!$D$7+F21*'Element Constants'!$D$8+G21*'Element Constants'!$D$9)/(B21*'Element Constants'!$D$4/'Element Constants'!$E$4+C21*'Element Constants'!$D$5/'Element Constants'!$E$5+D21*'Element Constants'!$D$6/'Element Constants'!$E$6+E21*'Element Constants'!$D$7/'Element Constants'!$E$7+F21*'Element Constants'!$D$8/'Element Constants'!$E$8+G21*'Element Constants'!$D$9/'Element Constants'!$E$9)</x:f>
        <x:v>5.726354420939877</x:v>
      </x:c>
      <x:c r="L21" s="48" t="n">
        <x:v>676.9166666666666</x:v>
      </x:c>
      <x:c r="M21" s="48" t="b">
        <x:f>L21&gt;=450</x:f>
        <x:v>1</x:v>
      </x:c>
      <x:c r="N21" s="48" t="n">
        <x:f>L21/K21</x:f>
        <x:v>118.2107527594429</x:v>
      </x:c>
      <x:c r="O21" s="48" t="n">
        <x:f>(B21*'Element Constants'!$D$4*'Element Constants'!$F$4+C21*'Element Constants'!$D$5*'Element Constants'!$F$5+D21*'Element Constants'!$D$6*'Element Constants'!$F$6+E21*'Element Constants'!$D$7*'Element Constants'!$F$7+F21*'Element Constants'!$D$8*'Element Constants'!$F$8+G21*'Element Constants'!$D$9*'Element Constants'!$F$9)/(B21*'Element Constants'!$D$4+C21*'Element Constants'!$D$5+D21*'Element Constants'!$D$6+E21*'Element Constants'!$D$7+F21*'Element Constants'!$D$8+G21*'Element Constants'!$D$9)</x:f>
        <x:v>7.882934477462587</x:v>
      </x:c>
      <x:c r="P21" s="48" t="n">
        <x:f>O21/MIN($O$7:$O$21)</x:f>
        <x:v>2.597228782002427</x:v>
      </x:c>
      <x:c r="Q21" s="30"/>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1:Q1"/>
    <x:mergeCell ref="A3:Q4"/>
  </x:mergeCells>
  <x:conditionalFormatting sqref="M7:M21">
    <x:cfRule type="expression" dxfId="0" priority="1">
      <x:formula>M7=TRUE</x:formula>
    </x:cfRule>
    <x:cfRule type="expression" dxfId="1" priority="2">
      <x:formula>M7=FALSE</x:formula>
    </x:cfRule>
  </x:conditionalFormatting>
  <x:pageMargins left="0.7" right="0.7" top="0.75" bottom="0.75" header="0.3" footer="0.3"/>
</x:worksheet>
</file>

<file path=xl/worksheets/sheet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1"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3" hidden="0" customWidth="1"/>
    <x:col min="12" max="12" width="13" hidden="0" customWidth="1"/>
    <x:col min="13" max="13" width="45" hidden="0" customWidth="1"/>
  </x:cols>
  <x:sheetData>
    <x:row r="1">
      <x:c r="A1" s="7" t="str">
        <x:v>Stage 3 — Experimental check and final recommendation</x:v>
      </x:c>
      <x:c r="B1" s="7"/>
      <x:c r="C1" s="7"/>
      <x:c r="D1" s="7"/>
      <x:c r="E1" s="7"/>
      <x:c r="F1" s="7"/>
      <x:c r="G1" s="7"/>
      <x:c r="H1" s="7"/>
      <x:c r="I1" s="7"/>
      <x:c r="J1" s="7"/>
      <x:c r="K1" s="7"/>
      <x:c r="L1" s="7"/>
      <x:c r="M1" s="7"/>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15" t="str">
        <x:v>Measured Vickers hardness is now revealed. Compare it with the ML prediction, identify any false passes/fails, and make a final recommendation using measured hardness, density and relative cost. Explain the trade-off you chose.</x:v>
      </x:c>
      <x:c r="B3" s="15"/>
      <x:c r="C3" s="15"/>
      <x:c r="D3" s="15"/>
      <x:c r="E3" s="15"/>
      <x:c r="F3" s="15"/>
      <x:c r="G3" s="15"/>
      <x:c r="H3" s="15"/>
      <x:c r="I3" s="15"/>
      <x:c r="J3" s="15"/>
      <x:c r="K3" s="15"/>
      <x:c r="L3" s="15"/>
      <x:c r="M3" s="15"/>
      <x:c r="N3" s="2"/>
      <x:c r="O3" s="2"/>
      <x:c r="P3" s="2"/>
      <x:c r="Q3" s="2"/>
      <x:c r="R3" s="2"/>
      <x:c r="S3" s="2"/>
      <x:c r="T3" s="2"/>
      <x:c r="U3" s="2"/>
      <x:c r="V3" s="2"/>
      <x:c r="W3" s="2"/>
      <x:c r="X3" s="2"/>
      <x:c r="Y3" s="2"/>
      <x:c r="Z3" s="2"/>
    </x:row>
    <x:row r="4">
      <x:c r="A4" s="15"/>
      <x:c r="B4" s="15"/>
      <x:c r="C4" s="15"/>
      <x:c r="D4" s="15"/>
      <x:c r="E4" s="15"/>
      <x:c r="F4" s="15"/>
      <x:c r="G4" s="15"/>
      <x:c r="H4" s="15"/>
      <x:c r="I4" s="15"/>
      <x:c r="J4" s="15"/>
      <x:c r="K4" s="15"/>
      <x:c r="L4" s="15"/>
      <x:c r="M4" s="15"/>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4" t="str">
        <x:v>Candidate</x:v>
      </x:c>
      <x:c r="B6" s="24" t="str">
        <x:v>ML hardness</x:v>
      </x:c>
      <x:c r="C6" s="24" t="str">
        <x:v>Experimental hardness</x:v>
      </x:c>
      <x:c r="D6" s="24" t="str">
        <x:v>ML error (HV)</x:v>
      </x:c>
      <x:c r="E6" s="24" t="str">
        <x:v>ML pass ≥450?</x:v>
      </x:c>
      <x:c r="F6" s="24" t="str">
        <x:v>Experimental pass ≥450?</x:v>
      </x:c>
      <x:c r="G6" s="24" t="str">
        <x:v>Density</x:v>
      </x:c>
      <x:c r="H6" s="24" t="str">
        <x:v>Experimental specific hardness</x:v>
      </x:c>
      <x:c r="I6" s="24" t="str">
        <x:v>Relative cost index</x:v>
      </x:c>
      <x:c r="J6" s="24" t="str">
        <x:v>False pass/fail?</x:v>
      </x:c>
      <x:c r="K6" s="24" t="str">
        <x:v>Final choice?</x:v>
      </x:c>
      <x:c r="L6" s="24" t="str">
        <x:v>Final rank</x:v>
      </x:c>
      <x:c r="M6" s="24" t="str">
        <x:v>Justification</x:v>
      </x:c>
      <x:c r="N6" s="2"/>
      <x:c r="O6" s="2"/>
      <x:c r="P6" s="2"/>
      <x:c r="Q6" s="2"/>
      <x:c r="R6" s="2"/>
      <x:c r="S6" s="2"/>
      <x:c r="T6" s="2"/>
      <x:c r="U6" s="2"/>
      <x:c r="V6" s="2"/>
      <x:c r="W6" s="2"/>
      <x:c r="X6" s="2"/>
      <x:c r="Y6" s="2"/>
      <x:c r="Z6" s="2"/>
    </x:row>
    <x:row r="7">
      <x:c r="A7" s="30" t="str">
        <x:v>A</x:v>
      </x:c>
      <x:c r="B7" s="48" t="n">
        <x:v>143.79</x:v>
      </x:c>
      <x:c r="C7" s="48" t="n">
        <x:v>118</x:v>
      </x:c>
      <x:c r="D7" s="48" t="n">
        <x:f>B7-C7</x:f>
        <x:v>25.789999999999992</x:v>
      </x:c>
      <x:c r="E7" s="48" t="b">
        <x:f>B7&gt;=450</x:f>
        <x:v>0</x:v>
      </x:c>
      <x:c r="F7" s="48" t="b">
        <x:f>C7&gt;=450</x:f>
        <x:v>0</x:v>
      </x:c>
      <x:c r="G7" s="48" t="n">
        <x:v>7.999345382769965</x:v>
      </x:c>
      <x:c r="H7" s="48" t="n">
        <x:f>C7/G7</x:f>
        <x:v>14.751207049287284</x:v>
      </x:c>
      <x:c r="I7" s="48" t="n">
        <x:f>'Stage 2 - ML Reveal'!P7</x:f>
        <x:v>3.251695541949492</x:v>
      </x:c>
      <x:c r="J7" s="30" t="str">
        <x:f>IF(AND(E7=TRUE,F7=FALSE),"False pass",IF(AND(E7=FALSE,F7=TRUE),"False fail","Consistent"))</x:f>
        <x:v>Consistent</x:v>
      </x:c>
      <x:c r="K7" s="30"/>
      <x:c r="L7" s="30"/>
      <x:c r="M7" s="30"/>
      <x:c r="N7" s="2"/>
      <x:c r="O7" s="2"/>
      <x:c r="P7" s="2"/>
      <x:c r="Q7" s="2"/>
      <x:c r="R7" s="2"/>
      <x:c r="S7" s="2"/>
      <x:c r="T7" s="2"/>
      <x:c r="U7" s="2"/>
      <x:c r="V7" s="2"/>
      <x:c r="W7" s="2"/>
      <x:c r="X7" s="2"/>
      <x:c r="Y7" s="2"/>
      <x:c r="Z7" s="2"/>
    </x:row>
    <x:row r="8">
      <x:c r="A8" s="30" t="str">
        <x:v>B</x:v>
      </x:c>
      <x:c r="B8" s="48" t="n">
        <x:v>147.28333333333333</x:v>
      </x:c>
      <x:c r="C8" s="48" t="n">
        <x:v>146</x:v>
      </x:c>
      <x:c r="D8" s="48" t="n">
        <x:f>B8-C8</x:f>
        <x:v>1.2833333333333314</x:v>
      </x:c>
      <x:c r="E8" s="48" t="b">
        <x:f>B8&gt;=450</x:f>
        <x:v>0</x:v>
      </x:c>
      <x:c r="F8" s="48" t="b">
        <x:f>C8&gt;=450</x:f>
        <x:v>0</x:v>
      </x:c>
      <x:c r="G8" s="48" t="n">
        <x:v>8.248053890208654</x:v>
      </x:c>
      <x:c r="H8" s="48" t="n">
        <x:f>C8/G8</x:f>
        <x:v>17.70114525722462</x:v>
      </x:c>
      <x:c r="I8" s="48" t="n">
        <x:f>'Stage 2 - ML Reveal'!P8</x:f>
        <x:v>2.1615092394543742</x:v>
      </x:c>
      <x:c r="J8" s="30" t="str">
        <x:f>IF(AND(E8=TRUE,F8=FALSE),"False pass",IF(AND(E8=FALSE,F8=TRUE),"False fail","Consistent"))</x:f>
        <x:v>Consistent</x:v>
      </x:c>
      <x:c r="K8" s="30"/>
      <x:c r="L8" s="30"/>
      <x:c r="M8" s="30"/>
      <x:c r="N8" s="2"/>
      <x:c r="O8" s="2"/>
      <x:c r="P8" s="2"/>
      <x:c r="Q8" s="2"/>
      <x:c r="R8" s="2"/>
      <x:c r="S8" s="2"/>
      <x:c r="T8" s="2"/>
      <x:c r="U8" s="2"/>
      <x:c r="V8" s="2"/>
      <x:c r="W8" s="2"/>
      <x:c r="X8" s="2"/>
      <x:c r="Y8" s="2"/>
      <x:c r="Z8" s="2"/>
    </x:row>
    <x:row r="9">
      <x:c r="A9" s="30" t="str">
        <x:v>C</x:v>
      </x:c>
      <x:c r="B9" s="48" t="n">
        <x:v>163.7</x:v>
      </x:c>
      <x:c r="C9" s="48" t="n">
        <x:v>155</x:v>
      </x:c>
      <x:c r="D9" s="48" t="n">
        <x:f>B9-C9</x:f>
        <x:v>8.699999999999989</x:v>
      </x:c>
      <x:c r="E9" s="48" t="b">
        <x:f>B9&gt;=450</x:f>
        <x:v>0</x:v>
      </x:c>
      <x:c r="F9" s="48" t="b">
        <x:f>C9&gt;=450</x:f>
        <x:v>0</x:v>
      </x:c>
      <x:c r="G9" s="48" t="n">
        <x:v>8.346534417621772</x:v>
      </x:c>
      <x:c r="H9" s="48" t="n">
        <x:f>C9/G9</x:f>
        <x:v>18.570581782153013</x:v>
      </x:c>
      <x:c r="I9" s="48" t="n">
        <x:f>'Stage 2 - ML Reveal'!P9</x:f>
        <x:v>3.1400854996428773</x:v>
      </x:c>
      <x:c r="J9" s="30" t="str">
        <x:f>IF(AND(E9=TRUE,F9=FALSE),"False pass",IF(AND(E9=FALSE,F9=TRUE),"False fail","Consistent"))</x:f>
        <x:v>Consistent</x:v>
      </x:c>
      <x:c r="K9" s="30"/>
      <x:c r="L9" s="30"/>
      <x:c r="M9" s="30"/>
      <x:c r="N9" s="2"/>
      <x:c r="O9" s="2"/>
      <x:c r="P9" s="2"/>
      <x:c r="Q9" s="2"/>
      <x:c r="R9" s="2"/>
      <x:c r="S9" s="2"/>
      <x:c r="T9" s="2"/>
      <x:c r="U9" s="2"/>
      <x:c r="V9" s="2"/>
      <x:c r="W9" s="2"/>
      <x:c r="X9" s="2"/>
      <x:c r="Y9" s="2"/>
      <x:c r="Z9" s="2"/>
    </x:row>
    <x:row r="10">
      <x:c r="A10" s="30" t="str">
        <x:v>D</x:v>
      </x:c>
      <x:c r="B10" s="48" t="n">
        <x:v>294.25666666666666</x:v>
      </x:c>
      <x:c r="C10" s="48" t="n">
        <x:v>265</x:v>
      </x:c>
      <x:c r="D10" s="48" t="n">
        <x:f>B10-C10</x:f>
        <x:v>29.25666666666666</x:v>
      </x:c>
      <x:c r="E10" s="48" t="b">
        <x:f>B10&gt;=450</x:f>
        <x:v>0</x:v>
      </x:c>
      <x:c r="F10" s="48" t="b">
        <x:f>C10&gt;=450</x:f>
        <x:v>0</x:v>
      </x:c>
      <x:c r="G10" s="48" t="n">
        <x:v>7.181649885946388</x:v>
      </x:c>
      <x:c r="H10" s="48" t="n">
        <x:f>C10/G10</x:f>
        <x:v>36.89959886774383</x:v>
      </x:c>
      <x:c r="I10" s="48" t="n">
        <x:f>'Stage 2 - ML Reveal'!P10</x:f>
        <x:v>3.0775789537522176</x:v>
      </x:c>
      <x:c r="J10" s="30" t="str">
        <x:f>IF(AND(E10=TRUE,F10=FALSE),"False pass",IF(AND(E10=FALSE,F10=TRUE),"False fail","Consistent"))</x:f>
        <x:v>Consistent</x:v>
      </x:c>
      <x:c r="K10" s="30"/>
      <x:c r="L10" s="30"/>
      <x:c r="M10" s="30"/>
      <x:c r="N10" s="2"/>
      <x:c r="O10" s="2"/>
      <x:c r="P10" s="2"/>
      <x:c r="Q10" s="2"/>
      <x:c r="R10" s="2"/>
      <x:c r="S10" s="2"/>
      <x:c r="T10" s="2"/>
      <x:c r="U10" s="2"/>
      <x:c r="V10" s="2"/>
      <x:c r="W10" s="2"/>
      <x:c r="X10" s="2"/>
      <x:c r="Y10" s="2"/>
      <x:c r="Z10" s="2"/>
    </x:row>
    <x:row r="11">
      <x:c r="A11" s="30" t="str">
        <x:v>E</x:v>
      </x:c>
      <x:c r="B11" s="48" t="n">
        <x:v>278.51</x:v>
      </x:c>
      <x:c r="C11" s="48" t="n">
        <x:v>278</x:v>
      </x:c>
      <x:c r="D11" s="48" t="n">
        <x:f>B11-C11</x:f>
        <x:v>0.5099999999999909</x:v>
      </x:c>
      <x:c r="E11" s="48" t="b">
        <x:f>B11&gt;=450</x:f>
        <x:v>0</x:v>
      </x:c>
      <x:c r="F11" s="48" t="b">
        <x:f>C11&gt;=450</x:f>
        <x:v>0</x:v>
      </x:c>
      <x:c r="G11" s="48" t="n">
        <x:v>7.514669457107665</x:v>
      </x:c>
      <x:c r="H11" s="48" t="n">
        <x:f>C11/G11</x:f>
        <x:v>36.99430847714224</x:v>
      </x:c>
      <x:c r="I11" s="48" t="n">
        <x:f>'Stage 2 - ML Reveal'!P11</x:f>
        <x:v>2.052141281504538</x:v>
      </x:c>
      <x:c r="J11" s="30" t="str">
        <x:f>IF(AND(E11=TRUE,F11=FALSE),"False pass",IF(AND(E11=FALSE,F11=TRUE),"False fail","Consistent"))</x:f>
        <x:v>Consistent</x:v>
      </x:c>
      <x:c r="K11" s="30"/>
      <x:c r="L11" s="30"/>
      <x:c r="M11" s="30"/>
      <x:c r="N11" s="2"/>
      <x:c r="O11" s="2"/>
      <x:c r="P11" s="2"/>
      <x:c r="Q11" s="2"/>
      <x:c r="R11" s="2"/>
      <x:c r="S11" s="2"/>
      <x:c r="T11" s="2"/>
      <x:c r="U11" s="2"/>
      <x:c r="V11" s="2"/>
      <x:c r="W11" s="2"/>
      <x:c r="X11" s="2"/>
      <x:c r="Y11" s="2"/>
      <x:c r="Z11" s="2"/>
    </x:row>
    <x:row r="12">
      <x:c r="A12" s="30" t="str">
        <x:v>F</x:v>
      </x:c>
      <x:c r="B12" s="48" t="n">
        <x:v>296.5</x:v>
      </x:c>
      <x:c r="C12" s="48" t="n">
        <x:v>304</x:v>
      </x:c>
      <x:c r="D12" s="48" t="n">
        <x:f>B12-C12</x:f>
        <x:v>-7.5</x:v>
      </x:c>
      <x:c r="E12" s="48" t="b">
        <x:f>B12&gt;=450</x:f>
        <x:v>0</x:v>
      </x:c>
      <x:c r="F12" s="48" t="b">
        <x:f>C12&gt;=450</x:f>
        <x:v>0</x:v>
      </x:c>
      <x:c r="G12" s="48" t="n">
        <x:v>7.3575517754894255</x:v>
      </x:c>
      <x:c r="H12" s="48" t="n">
        <x:f>C12/G12</x:f>
        <x:v>41.31809184309517</x:v>
      </x:c>
      <x:c r="I12" s="48" t="n">
        <x:f>'Stage 2 - ML Reveal'!P12</x:f>
        <x:v>1</x:v>
      </x:c>
      <x:c r="J12" s="30" t="str">
        <x:f>IF(AND(E12=TRUE,F12=FALSE),"False pass",IF(AND(E12=FALSE,F12=TRUE),"False fail","Consistent"))</x:f>
        <x:v>Consistent</x:v>
      </x:c>
      <x:c r="K12" s="30"/>
      <x:c r="L12" s="30"/>
      <x:c r="M12" s="30"/>
      <x:c r="N12" s="2"/>
      <x:c r="O12" s="2"/>
      <x:c r="P12" s="2"/>
      <x:c r="Q12" s="2"/>
      <x:c r="R12" s="2"/>
      <x:c r="S12" s="2"/>
      <x:c r="T12" s="2"/>
      <x:c r="U12" s="2"/>
      <x:c r="V12" s="2"/>
      <x:c r="W12" s="2"/>
      <x:c r="X12" s="2"/>
      <x:c r="Y12" s="2"/>
      <x:c r="Z12" s="2"/>
    </x:row>
    <x:row r="13">
      <x:c r="A13" s="30" t="str">
        <x:v>G</x:v>
      </x:c>
      <x:c r="B13" s="48" t="n">
        <x:v>346.17</x:v>
      </x:c>
      <x:c r="C13" s="48" t="n">
        <x:v>366</x:v>
      </x:c>
      <x:c r="D13" s="48" t="n">
        <x:f>B13-C13</x:f>
        <x:v>-19.829999999999984</x:v>
      </x:c>
      <x:c r="E13" s="48" t="b">
        <x:f>B13&gt;=450</x:f>
        <x:v>0</x:v>
      </x:c>
      <x:c r="F13" s="48" t="b">
        <x:f>C13&gt;=450</x:f>
        <x:v>0</x:v>
      </x:c>
      <x:c r="G13" s="48" t="n">
        <x:v>7.210624555947105</x:v>
      </x:c>
      <x:c r="H13" s="48" t="n">
        <x:f>C13/G13</x:f>
        <x:v>50.758432526920885</x:v>
      </x:c>
      <x:c r="I13" s="48" t="n">
        <x:f>'Stage 2 - ML Reveal'!P13</x:f>
        <x:v>3.8341491453255814</x:v>
      </x:c>
      <x:c r="J13" s="30" t="str">
        <x:f>IF(AND(E13=TRUE,F13=FALSE),"False pass",IF(AND(E13=FALSE,F13=TRUE),"False fail","Consistent"))</x:f>
        <x:v>Consistent</x:v>
      </x:c>
      <x:c r="K13" s="30"/>
      <x:c r="L13" s="30"/>
      <x:c r="M13" s="30"/>
      <x:c r="N13" s="2"/>
      <x:c r="O13" s="2"/>
      <x:c r="P13" s="2"/>
      <x:c r="Q13" s="2"/>
      <x:c r="R13" s="2"/>
      <x:c r="S13" s="2"/>
      <x:c r="T13" s="2"/>
      <x:c r="U13" s="2"/>
      <x:c r="V13" s="2"/>
      <x:c r="W13" s="2"/>
      <x:c r="X13" s="2"/>
      <x:c r="Y13" s="2"/>
      <x:c r="Z13" s="2"/>
    </x:row>
    <x:row r="14">
      <x:c r="A14" s="30" t="str">
        <x:v>H</x:v>
      </x:c>
      <x:c r="B14" s="48" t="n">
        <x:v>469.63</x:v>
      </x:c>
      <x:c r="C14" s="48" t="n">
        <x:v>380</x:v>
      </x:c>
      <x:c r="D14" s="48" t="n">
        <x:f>B14-C14</x:f>
        <x:v>89.63</x:v>
      </x:c>
      <x:c r="E14" s="48" t="b">
        <x:f>B14&gt;=450</x:f>
        <x:v>1</x:v>
      </x:c>
      <x:c r="F14" s="48" t="b">
        <x:f>C14&gt;=450</x:f>
        <x:v>0</x:v>
      </x:c>
      <x:c r="G14" s="48" t="n">
        <x:v>6.969907641485768</x:v>
      </x:c>
      <x:c r="H14" s="48" t="n">
        <x:f>C14/G14</x:f>
        <x:v>54.520091161350855</x:v>
      </x:c>
      <x:c r="I14" s="48" t="n">
        <x:f>'Stage 2 - ML Reveal'!P14</x:f>
        <x:v>3.6684925732766898</x:v>
      </x:c>
      <x:c r="J14" s="30" t="str">
        <x:f>IF(AND(E14=TRUE,F14=FALSE),"False pass",IF(AND(E14=FALSE,F14=TRUE),"False fail","Consistent"))</x:f>
        <x:v>False pass</x:v>
      </x:c>
      <x:c r="K14" s="30"/>
      <x:c r="L14" s="30"/>
      <x:c r="M14" s="30"/>
      <x:c r="N14" s="2"/>
      <x:c r="O14" s="2"/>
      <x:c r="P14" s="2"/>
      <x:c r="Q14" s="2"/>
      <x:c r="R14" s="2"/>
      <x:c r="S14" s="2"/>
      <x:c r="T14" s="2"/>
      <x:c r="U14" s="2"/>
      <x:c r="V14" s="2"/>
      <x:c r="W14" s="2"/>
      <x:c r="X14" s="2"/>
      <x:c r="Y14" s="2"/>
      <x:c r="Z14" s="2"/>
    </x:row>
    <x:row r="15">
      <x:c r="A15" s="30" t="str">
        <x:v>I</x:v>
      </x:c>
      <x:c r="B15" s="48" t="n">
        <x:v>470.0733333333333</x:v>
      </x:c>
      <x:c r="C15" s="48" t="n">
        <x:v>441</x:v>
      </x:c>
      <x:c r="D15" s="48" t="n">
        <x:f>B15-C15</x:f>
        <x:v>29.073333333333323</x:v>
      </x:c>
      <x:c r="E15" s="48" t="b">
        <x:f>B15&gt;=450</x:f>
        <x:v>1</x:v>
      </x:c>
      <x:c r="F15" s="48" t="b">
        <x:f>C15&gt;=450</x:f>
        <x:v>0</x:v>
      </x:c>
      <x:c r="G15" s="48" t="n">
        <x:v>7.424443624842021</x:v>
      </x:c>
      <x:c r="H15" s="48" t="n">
        <x:f>C15/G15</x:f>
        <x:v>59.398390274582184</x:v>
      </x:c>
      <x:c r="I15" s="48" t="n">
        <x:f>'Stage 2 - ML Reveal'!P15</x:f>
        <x:v>1.9956579749496464</x:v>
      </x:c>
      <x:c r="J15" s="30" t="str">
        <x:f>IF(AND(E15=TRUE,F15=FALSE),"False pass",IF(AND(E15=FALSE,F15=TRUE),"False fail","Consistent"))</x:f>
        <x:v>False pass</x:v>
      </x:c>
      <x:c r="K15" s="30"/>
      <x:c r="L15" s="30"/>
      <x:c r="M15" s="30"/>
      <x:c r="N15" s="2"/>
      <x:c r="O15" s="2"/>
      <x:c r="P15" s="2"/>
      <x:c r="Q15" s="2"/>
      <x:c r="R15" s="2"/>
      <x:c r="S15" s="2"/>
      <x:c r="T15" s="2"/>
      <x:c r="U15" s="2"/>
      <x:c r="V15" s="2"/>
      <x:c r="W15" s="2"/>
      <x:c r="X15" s="2"/>
      <x:c r="Y15" s="2"/>
      <x:c r="Z15" s="2"/>
    </x:row>
    <x:row r="16">
      <x:c r="A16" s="30" t="str">
        <x:v>J</x:v>
      </x:c>
      <x:c r="B16" s="48" t="n">
        <x:v>502.37666666666667</x:v>
      </x:c>
      <x:c r="C16" s="48" t="n">
        <x:v>475</x:v>
      </x:c>
      <x:c r="D16" s="48" t="n">
        <x:f>B16-C16</x:f>
        <x:v>27.376666666666665</x:v>
      </x:c>
      <x:c r="E16" s="48" t="b">
        <x:f>B16&gt;=450</x:f>
        <x:v>1</x:v>
      </x:c>
      <x:c r="F16" s="48" t="b">
        <x:f>C16&gt;=450</x:f>
        <x:v>1</x:v>
      </x:c>
      <x:c r="G16" s="48" t="n">
        <x:v>6.8098462282292695</x:v>
      </x:c>
      <x:c r="H16" s="48" t="n">
        <x:f>C16/G16</x:f>
        <x:v>69.75194212623387</x:v>
      </x:c>
      <x:c r="I16" s="48" t="n">
        <x:f>'Stage 2 - ML Reveal'!P16</x:f>
        <x:v>2.872365533115989</x:v>
      </x:c>
      <x:c r="J16" s="30" t="str">
        <x:f>IF(AND(E16=TRUE,F16=FALSE),"False pass",IF(AND(E16=FALSE,F16=TRUE),"False fail","Consistent"))</x:f>
        <x:v>Consistent</x:v>
      </x:c>
      <x:c r="K16" s="30"/>
      <x:c r="L16" s="30"/>
      <x:c r="M16" s="30"/>
      <x:c r="N16" s="2"/>
      <x:c r="O16" s="2"/>
      <x:c r="P16" s="2"/>
      <x:c r="Q16" s="2"/>
      <x:c r="R16" s="2"/>
      <x:c r="S16" s="2"/>
      <x:c r="T16" s="2"/>
      <x:c r="U16" s="2"/>
      <x:c r="V16" s="2"/>
      <x:c r="W16" s="2"/>
      <x:c r="X16" s="2"/>
      <x:c r="Y16" s="2"/>
      <x:c r="Z16" s="2"/>
    </x:row>
    <x:row r="17">
      <x:c r="A17" s="30" t="str">
        <x:v>K</x:v>
      </x:c>
      <x:c r="B17" s="48" t="n">
        <x:v>535.14</x:v>
      </x:c>
      <x:c r="C17" s="48" t="n">
        <x:v>516</x:v>
      </x:c>
      <x:c r="D17" s="48" t="n">
        <x:f>B17-C17</x:f>
        <x:v>19.139999999999986</x:v>
      </x:c>
      <x:c r="E17" s="48" t="b">
        <x:f>B17&gt;=450</x:f>
        <x:v>1</x:v>
      </x:c>
      <x:c r="F17" s="48" t="b">
        <x:f>C17&gt;=450</x:f>
        <x:v>1</x:v>
      </x:c>
      <x:c r="G17" s="48" t="n">
        <x:v>6.72700045200041</x:v>
      </x:c>
      <x:c r="H17" s="48" t="n">
        <x:f>C17/G17</x:f>
        <x:v>76.7058072437853</x:v>
      </x:c>
      <x:c r="I17" s="48" t="n">
        <x:f>'Stage 2 - ML Reveal'!P17</x:f>
        <x:v>3.001842358800805</x:v>
      </x:c>
      <x:c r="J17" s="30" t="str">
        <x:f>IF(AND(E17=TRUE,F17=FALSE),"False pass",IF(AND(E17=FALSE,F17=TRUE),"False fail","Consistent"))</x:f>
        <x:v>Consistent</x:v>
      </x:c>
      <x:c r="K17" s="30"/>
      <x:c r="L17" s="30"/>
      <x:c r="M17" s="30"/>
      <x:c r="N17" s="2"/>
      <x:c r="O17" s="2"/>
      <x:c r="P17" s="2"/>
      <x:c r="Q17" s="2"/>
      <x:c r="R17" s="2"/>
      <x:c r="S17" s="2"/>
      <x:c r="T17" s="2"/>
      <x:c r="U17" s="2"/>
      <x:c r="V17" s="2"/>
      <x:c r="W17" s="2"/>
      <x:c r="X17" s="2"/>
      <x:c r="Y17" s="2"/>
      <x:c r="Z17" s="2"/>
    </x:row>
    <x:row r="18">
      <x:c r="A18" s="30" t="str">
        <x:v>L</x:v>
      </x:c>
      <x:c r="B18" s="48" t="n">
        <x:v>543.2133333333334</x:v>
      </x:c>
      <x:c r="C18" s="48" t="n">
        <x:v>573</x:v>
      </x:c>
      <x:c r="D18" s="48" t="n">
        <x:f>B18-C18</x:f>
        <x:v>-29.786666666666633</x:v>
      </x:c>
      <x:c r="E18" s="48" t="b">
        <x:f>B18&gt;=450</x:f>
        <x:v>1</x:v>
      </x:c>
      <x:c r="F18" s="48" t="b">
        <x:f>C18&gt;=450</x:f>
        <x:v>1</x:v>
      </x:c>
      <x:c r="G18" s="48" t="n">
        <x:v>6.292684660492192</x:v>
      </x:c>
      <x:c r="H18" s="48" t="n">
        <x:f>C18/G18</x:f>
        <x:v>91.05811444795677</x:v>
      </x:c>
      <x:c r="I18" s="48" t="n">
        <x:f>'Stage 2 - ML Reveal'!P18</x:f>
        <x:v>1.6587216441015395</x:v>
      </x:c>
      <x:c r="J18" s="30" t="str">
        <x:f>IF(AND(E18=TRUE,F18=FALSE),"False pass",IF(AND(E18=FALSE,F18=TRUE),"False fail","Consistent"))</x:f>
        <x:v>Consistent</x:v>
      </x:c>
      <x:c r="K18" s="30"/>
      <x:c r="L18" s="30"/>
      <x:c r="M18" s="30"/>
      <x:c r="N18" s="2"/>
      <x:c r="O18" s="2"/>
      <x:c r="P18" s="2"/>
      <x:c r="Q18" s="2"/>
      <x:c r="R18" s="2"/>
      <x:c r="S18" s="2"/>
      <x:c r="T18" s="2"/>
      <x:c r="U18" s="2"/>
      <x:c r="V18" s="2"/>
      <x:c r="W18" s="2"/>
      <x:c r="X18" s="2"/>
      <x:c r="Y18" s="2"/>
      <x:c r="Z18" s="2"/>
    </x:row>
    <x:row r="19">
      <x:c r="A19" s="30" t="str">
        <x:v>M</x:v>
      </x:c>
      <x:c r="B19" s="48" t="n">
        <x:v>614.14</x:v>
      </x:c>
      <x:c r="C19" s="48" t="n">
        <x:v>665</x:v>
      </x:c>
      <x:c r="D19" s="48" t="n">
        <x:f>B19-C19</x:f>
        <x:v>-50.860000000000014</x:v>
      </x:c>
      <x:c r="E19" s="48" t="b">
        <x:f>B19&gt;=450</x:f>
        <x:v>1</x:v>
      </x:c>
      <x:c r="F19" s="48" t="b">
        <x:f>C19&gt;=450</x:f>
        <x:v>1</x:v>
      </x:c>
      <x:c r="G19" s="48" t="n">
        <x:v>6.525722327105926</x:v>
      </x:c>
      <x:c r="H19" s="48" t="n">
        <x:f>C19/G19</x:f>
        <x:v>101.90442784207751</x:v>
      </x:c>
      <x:c r="I19" s="48" t="n">
        <x:f>'Stage 2 - ML Reveal'!P19</x:f>
        <x:v>3.567685858877971</x:v>
      </x:c>
      <x:c r="J19" s="30" t="str">
        <x:f>IF(AND(E19=TRUE,F19=FALSE),"False pass",IF(AND(E19=FALSE,F19=TRUE),"False fail","Consistent"))</x:f>
        <x:v>Consistent</x:v>
      </x:c>
      <x:c r="K19" s="30"/>
      <x:c r="L19" s="30"/>
      <x:c r="M19" s="30"/>
      <x:c r="N19" s="2"/>
      <x:c r="O19" s="2"/>
      <x:c r="P19" s="2"/>
      <x:c r="Q19" s="2"/>
      <x:c r="R19" s="2"/>
      <x:c r="S19" s="2"/>
      <x:c r="T19" s="2"/>
      <x:c r="U19" s="2"/>
      <x:c r="V19" s="2"/>
      <x:c r="W19" s="2"/>
      <x:c r="X19" s="2"/>
      <x:c r="Y19" s="2"/>
      <x:c r="Z19" s="2"/>
    </x:row>
    <x:row r="20">
      <x:c r="A20" s="30" t="str">
        <x:v>N</x:v>
      </x:c>
      <x:c r="B20" s="48" t="n">
        <x:v>645.5666666666667</x:v>
      </x:c>
      <x:c r="C20" s="48" t="n">
        <x:v>695</x:v>
      </x:c>
      <x:c r="D20" s="48" t="n">
        <x:f>B20-C20</x:f>
        <x:v>-49.43333333333328</x:v>
      </x:c>
      <x:c r="E20" s="48" t="b">
        <x:f>B20&gt;=450</x:f>
        <x:v>1</x:v>
      </x:c>
      <x:c r="F20" s="48" t="b">
        <x:f>C20&gt;=450</x:f>
        <x:v>1</x:v>
      </x:c>
      <x:c r="G20" s="48" t="n">
        <x:v>6.576744141217827</x:v>
      </x:c>
      <x:c r="H20" s="48" t="n">
        <x:f>C20/G20</x:f>
        <x:v>105.67538968777727</x:v>
      </x:c>
      <x:c r="I20" s="48" t="n">
        <x:f>'Stage 2 - ML Reveal'!P20</x:f>
        <x:v>2.9947359788531345</x:v>
      </x:c>
      <x:c r="J20" s="30" t="str">
        <x:f>IF(AND(E20=TRUE,F20=FALSE),"False pass",IF(AND(E20=FALSE,F20=TRUE),"False fail","Consistent"))</x:f>
        <x:v>Consistent</x:v>
      </x:c>
      <x:c r="K20" s="30"/>
      <x:c r="L20" s="30"/>
      <x:c r="M20" s="30"/>
      <x:c r="N20" s="2"/>
      <x:c r="O20" s="2"/>
      <x:c r="P20" s="2"/>
      <x:c r="Q20" s="2"/>
      <x:c r="R20" s="2"/>
      <x:c r="S20" s="2"/>
      <x:c r="T20" s="2"/>
      <x:c r="U20" s="2"/>
      <x:c r="V20" s="2"/>
      <x:c r="W20" s="2"/>
      <x:c r="X20" s="2"/>
      <x:c r="Y20" s="2"/>
      <x:c r="Z20" s="2"/>
    </x:row>
    <x:row r="21">
      <x:c r="A21" s="30" t="str">
        <x:v>O</x:v>
      </x:c>
      <x:c r="B21" s="48" t="n">
        <x:v>676.9166666666666</x:v>
      </x:c>
      <x:c r="C21" s="48" t="n">
        <x:v>735</x:v>
      </x:c>
      <x:c r="D21" s="48" t="n">
        <x:f>B21-C21</x:f>
        <x:v>-58.08333333333337</x:v>
      </x:c>
      <x:c r="E21" s="48" t="b">
        <x:f>B21&gt;=450</x:f>
        <x:v>1</x:v>
      </x:c>
      <x:c r="F21" s="48" t="b">
        <x:f>C21&gt;=450</x:f>
        <x:v>1</x:v>
      </x:c>
      <x:c r="G21" s="48" t="n">
        <x:v>5.726354420939877</x:v>
      </x:c>
      <x:c r="H21" s="48" t="n">
        <x:f>C21/G21</x:f>
        <x:v>128.35391349726535</x:v>
      </x:c>
      <x:c r="I21" s="48" t="n">
        <x:f>'Stage 2 - ML Reveal'!P21</x:f>
        <x:v>2.597228782002427</x:v>
      </x:c>
      <x:c r="J21" s="30" t="str">
        <x:f>IF(AND(E21=TRUE,F21=FALSE),"False pass",IF(AND(E21=FALSE,F21=TRUE),"False fail","Consistent"))</x:f>
        <x:v>Consistent</x:v>
      </x:c>
      <x:c r="K21" s="30"/>
      <x:c r="L21" s="30"/>
      <x:c r="M21" s="30"/>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1:M1"/>
    <x:mergeCell ref="A3:M4"/>
  </x:mergeCells>
  <x:conditionalFormatting sqref="F7:F21">
    <x:cfRule type="expression" dxfId="2" priority="1">
      <x:formula>F7=TRUE</x:formula>
    </x:cfRule>
    <x:cfRule type="expression" dxfId="3" priority="2">
      <x:formula>F7=FALSE</x:formula>
    </x:cfRule>
  </x:conditionalFormatting>
  <x:conditionalFormatting sqref="J7:J21">
    <x:cfRule type="expression" dxfId="4" priority="3">
      <x:formula>J7="False pass"</x:formula>
    </x:cfRule>
    <x:cfRule type="expression" dxfId="5" priority="4">
      <x:formula>J7="False fail"</x:formula>
    </x:cfRule>
  </x:conditionalFormatting>
  <x:dataValidations count="1">
    <x:dataValidation type="list" sqref="K7:K21">
      <x:formula1>"Yes,No"</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6" hidden="0" customWidth="1"/>
    <x:col min="2" max="2" width="72" hidden="0" customWidth="1"/>
    <x:col min="3" max="3" width="52" hidden="0" customWidth="1"/>
  </x:cols>
  <x:sheetData>
    <x:row r="1">
      <x:c r="A1" s="7" t="str">
        <x:v>Sources and scientific scope</x:v>
      </x:c>
      <x:c r="B1" s="7"/>
      <x:c r="C1" s="7"/>
      <x:c r="D1" s="2"/>
      <x:c r="E1" s="2"/>
      <x:c r="F1" s="2"/>
      <x:c r="G1" s="2"/>
      <x:c r="H1" s="2"/>
      <x:c r="I1" s="2"/>
      <x:c r="J1" s="2"/>
      <x:c r="K1" s="2"/>
      <x:c r="L1" s="2"/>
      <x:c r="M1" s="2"/>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24" t="str">
        <x:v>Item</x:v>
      </x:c>
      <x:c r="B3" s="24" t="str">
        <x:v>Source / statement</x:v>
      </x:c>
      <x:c r="C3" s="24" t="str">
        <x:v>URL</x:v>
      </x:c>
      <x:c r="D3" s="2"/>
      <x:c r="E3" s="2"/>
      <x:c r="F3" s="2"/>
      <x:c r="G3" s="2"/>
      <x:c r="H3" s="2"/>
      <x:c r="I3" s="2"/>
      <x:c r="J3" s="2"/>
      <x:c r="K3" s="2"/>
      <x:c r="L3" s="2"/>
      <x:c r="M3" s="2"/>
      <x:c r="N3" s="2"/>
      <x:c r="O3" s="2"/>
      <x:c r="P3" s="2"/>
      <x:c r="Q3" s="2"/>
      <x:c r="R3" s="2"/>
      <x:c r="S3" s="2"/>
      <x:c r="T3" s="2"/>
      <x:c r="U3" s="2"/>
      <x:c r="V3" s="2"/>
      <x:c r="W3" s="2"/>
      <x:c r="X3" s="2"/>
      <x:c r="Y3" s="2"/>
      <x:c r="Z3" s="2"/>
    </x:row>
    <x:row r="4">
      <x:c r="A4" s="30" t="str">
        <x:v>Primary dataset/paper</x:v>
      </x:c>
      <x:c r="B4" s="30" t="str">
        <x:v>Wen et al., Machine learning assisted design of high entropy alloys with desired property, Acta Materialia 170 (2019) 109–117.</x:v>
      </x:c>
      <x:c r="C4" s="30" t="str">
        <x:v>https://doi.org/10.1016/j.actamat.2019.03.010</x:v>
      </x:c>
      <x:c r="D4" s="2"/>
      <x:c r="E4" s="2"/>
      <x:c r="F4" s="2"/>
      <x:c r="G4" s="2"/>
      <x:c r="H4" s="2"/>
      <x:c r="I4" s="2"/>
      <x:c r="J4" s="2"/>
      <x:c r="K4" s="2"/>
      <x:c r="L4" s="2"/>
      <x:c r="M4" s="2"/>
      <x:c r="N4" s="2"/>
      <x:c r="O4" s="2"/>
      <x:c r="P4" s="2"/>
      <x:c r="Q4" s="2"/>
      <x:c r="R4" s="2"/>
      <x:c r="S4" s="2"/>
      <x:c r="T4" s="2"/>
      <x:c r="U4" s="2"/>
      <x:c r="V4" s="2"/>
      <x:c r="W4" s="2"/>
      <x:c r="X4" s="2"/>
      <x:c r="Y4" s="2"/>
      <x:c r="Z4" s="2"/>
    </x:row>
    <x:row r="5">
      <x:c r="A5" s="30" t="str">
        <x:v>Independent hardness-ML validation</x:v>
      </x:c>
      <x:c r="B5" s="30" t="str">
        <x:v>2025 study using the same 155 Al–Co–Cr–Cu–Fe–Ni compositions; reports strong hardness prediction from composition.</x:v>
      </x:c>
      <x:c r="C5" s="30" t="str">
        <x:v>https://doi.org/10.3390/cryst15050404</x:v>
      </x:c>
      <x:c r="D5" s="2"/>
      <x:c r="E5" s="2"/>
      <x:c r="F5" s="2"/>
      <x:c r="G5" s="2"/>
      <x:c r="H5" s="2"/>
      <x:c r="I5" s="2"/>
      <x:c r="J5" s="2"/>
      <x:c r="K5" s="2"/>
      <x:c r="L5" s="2"/>
      <x:c r="M5" s="2"/>
      <x:c r="N5" s="2"/>
      <x:c r="O5" s="2"/>
      <x:c r="P5" s="2"/>
      <x:c r="Q5" s="2"/>
      <x:c r="R5" s="2"/>
      <x:c r="S5" s="2"/>
      <x:c r="T5" s="2"/>
      <x:c r="U5" s="2"/>
      <x:c r="V5" s="2"/>
      <x:c r="W5" s="2"/>
      <x:c r="X5" s="2"/>
      <x:c r="Y5" s="2"/>
      <x:c r="Z5" s="2"/>
    </x:row>
    <x:row r="6">
      <x:c r="A6" s="30" t="str">
        <x:v>Hardness meaning</x:v>
      </x:c>
      <x:c r="B6" s="30" t="str">
        <x:v>Hardness is used here as resistance to localized plastic deformation/indentation. It is not treated as a complete wear or toughness metric.</x:v>
      </x:c>
      <x:c r="C6" s="30" t="str">
        <x:v>https://www.nature.com/articles/s41524-022-00842-3</x:v>
      </x:c>
      <x:c r="D6" s="2"/>
      <x:c r="E6" s="2"/>
      <x:c r="F6" s="2"/>
      <x:c r="G6" s="2"/>
      <x:c r="H6" s="2"/>
      <x:c r="I6" s="2"/>
      <x:c r="J6" s="2"/>
      <x:c r="K6" s="2"/>
      <x:c r="L6" s="2"/>
      <x:c r="M6" s="2"/>
      <x:c r="N6" s="2"/>
      <x:c r="O6" s="2"/>
      <x:c r="P6" s="2"/>
      <x:c r="Q6" s="2"/>
      <x:c r="R6" s="2"/>
      <x:c r="S6" s="2"/>
      <x:c r="T6" s="2"/>
      <x:c r="U6" s="2"/>
      <x:c r="V6" s="2"/>
      <x:c r="W6" s="2"/>
      <x:c r="X6" s="2"/>
      <x:c r="Y6" s="2"/>
      <x:c r="Z6" s="2"/>
    </x:row>
    <x:row r="7">
      <x:c r="A7" s="30" t="str">
        <x:v>ML scope</x:v>
      </x:c>
      <x:c r="B7" s="30" t="str">
        <x:v>The model is only intended for interpolation within this six-element, as-cast alloy family. It should not be presented as a universal hardness model.</x:v>
      </x:c>
      <x:c r="C7" s="30" t="str"/>
      <x:c r="D7" s="2"/>
      <x:c r="E7" s="2"/>
      <x:c r="F7" s="2"/>
      <x:c r="G7" s="2"/>
      <x:c r="H7" s="2"/>
      <x:c r="I7" s="2"/>
      <x:c r="J7" s="2"/>
      <x:c r="K7" s="2"/>
      <x:c r="L7" s="2"/>
      <x:c r="M7" s="2"/>
      <x:c r="N7" s="2"/>
      <x:c r="O7" s="2"/>
      <x:c r="P7" s="2"/>
      <x:c r="Q7" s="2"/>
      <x:c r="R7" s="2"/>
      <x:c r="S7" s="2"/>
      <x:c r="T7" s="2"/>
      <x:c r="U7" s="2"/>
      <x:c r="V7" s="2"/>
      <x:c r="W7" s="2"/>
      <x:c r="X7" s="2"/>
      <x:c r="Y7" s="2"/>
      <x:c r="Z7" s="2"/>
    </x:row>
    <x:row r="8">
      <x:c r="A8" s="30" t="str">
        <x:v>Cost model</x:v>
      </x:c>
      <x:c r="B8" s="30" t="str">
        <x:v>Relative elemental cost weights are deliberately pedagogical, not market prices. They can later be replaced with supplier-specific values.</x:v>
      </x:c>
      <x:c r="C8" s="30" t="str"/>
      <x:c r="D8" s="2"/>
      <x:c r="E8" s="2"/>
      <x:c r="F8" s="2"/>
      <x:c r="G8" s="2"/>
      <x:c r="H8" s="2"/>
      <x:c r="I8" s="2"/>
      <x:c r="J8" s="2"/>
      <x:c r="K8" s="2"/>
      <x:c r="L8" s="2"/>
      <x:c r="M8" s="2"/>
      <x:c r="N8" s="2"/>
      <x:c r="O8" s="2"/>
      <x:c r="P8" s="2"/>
      <x:c r="Q8" s="2"/>
      <x:c r="R8" s="2"/>
      <x:c r="S8" s="2"/>
      <x:c r="T8" s="2"/>
      <x:c r="U8" s="2"/>
      <x:c r="V8" s="2"/>
      <x:c r="W8" s="2"/>
      <x:c r="X8" s="2"/>
      <x:c r="Y8" s="2"/>
      <x:c r="Z8" s="2"/>
    </x:row>
    <x:row r="9">
      <x:c r="A9" s="2"/>
      <x:c r="B9" s="2"/>
      <x:c r="C9" s="2"/>
      <x:c r="D9" s="2"/>
      <x:c r="E9" s="2"/>
      <x:c r="F9" s="2"/>
      <x:c r="G9" s="2"/>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1:C1"/>
  </x:mergeCells>
  <x:pageMargins left="0.7" right="0.7" top="0.75" bottom="0.75" header="0.3" footer="0.3"/>
</x:worksheet>
</file>