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196d9ac1e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" sheetId="1" r:id="R08e321d305c0468b"/>
    <x:sheet xmlns:r="http://schemas.openxmlformats.org/officeDocument/2006/relationships" name="Element Constants" sheetId="2" r:id="R365cec72b3054a87"/>
    <x:sheet xmlns:r="http://schemas.openxmlformats.org/officeDocument/2006/relationships" name="Descriptor Key" sheetId="3" r:id="R6e3336074bf64c1e"/>
    <x:sheet xmlns:r="http://schemas.openxmlformats.org/officeDocument/2006/relationships" name="Stage 2 - ML Reveal" sheetId="4" r:id="Rde2c41c7ec494fb5"/>
    <x:sheet xmlns:r="http://schemas.openxmlformats.org/officeDocument/2006/relationships" name="Stage 3 - Experiment" sheetId="5" r:id="Rb9fda56228694c8b"/>
    <x:sheet xmlns:r="http://schemas.openxmlformats.org/officeDocument/2006/relationships" name="Model Validation" sheetId="6" r:id="R6a606959a1534d93"/>
    <x:sheet xmlns:r="http://schemas.openxmlformats.org/officeDocument/2006/relationships" name="Instructor Notes" sheetId="7" r:id="Rcf2906419df14089"/>
    <x:sheet xmlns:r="http://schemas.openxmlformats.org/officeDocument/2006/relationships" name="Sources &amp; Notes" sheetId="8" r:id="R1dbd11e0afa1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6">
    <x:font>
      <x:sz val="11"/>
      <x:name val="Carlito"/>
    </x:font>
    <x:font>
      <x:sz val="10"/>
      <x:name val="Aptos"/>
    </x:font>
    <x:font>
      <x:b/>
      <x:sz val="16"/>
      <x:color rgb="FFFFFFFF"/>
      <x:name val="Aptos"/>
    </x:font>
    <x:font>
      <x:sz val="10"/>
      <x:color rgb="FF1F1F1F"/>
      <x:name val="Aptos"/>
    </x:font>
    <x:font>
      <x:b/>
      <x:sz val="10"/>
      <x:color rgb="FFFFFFFF"/>
      <x:name val="Aptos"/>
    </x:font>
    <x:font>
      <x:b/>
      <x:sz val="10"/>
      <x:color rgb="FF1F1F1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5" fillId="5" borderId="0" xfId="0" applyNumberFormat="1" applyFont="1" applyFill="1" applyBorder="1"/>
    <x:xf numFmtId="200" fontId="5" fillId="5" borderId="0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/>
    <x:xf numFmtId="200" fontId="5" fillId="5" borderId="1" xfId="0" applyNumberFormat="1" applyFont="1" applyFill="1" applyBorder="1"/>
    <x:xf numFmtId="200" fontId="5" fillId="5" borderId="1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horizont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/>
    <x:xf numFmtId="200" fontId="4" fillId="4" borderId="1" xfId="0" applyNumberFormat="1" applyFont="1" applyFill="1" applyBorder="1"/>
    <x:xf numFmtId="200" fontId="4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horizont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/>
    <x:xf numFmtId="200" fontId="3" fillId="3" borderId="1" xfId="0" applyNumberFormat="1" applyFont="1" applyFill="1" applyBorder="1"/>
    <x:xf numFmtId="200" fontId="3" fillId="3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29e0bcbe743fa" /><Relationship Type="http://schemas.openxmlformats.org/officeDocument/2006/relationships/theme" Target="/xl/theme/theme1.xml" Id="R5ffe51875170482c" /><Relationship Type="http://schemas.openxmlformats.org/officeDocument/2006/relationships/sharedStrings" Target="/xl/sharedStrings.xml" Id="R4ea235a1f480428d" /><Relationship Type="http://schemas.openxmlformats.org/officeDocument/2006/relationships/worksheet" Target="/xl/worksheets/sheet1.xml" Id="R08e321d305c0468b" /><Relationship Type="http://schemas.openxmlformats.org/officeDocument/2006/relationships/worksheet" Target="/xl/worksheets/sheet2.xml" Id="R365cec72b3054a87" /><Relationship Type="http://schemas.openxmlformats.org/officeDocument/2006/relationships/worksheet" Target="/xl/worksheets/sheet3.xml" Id="R6e3336074bf64c1e" /><Relationship Type="http://schemas.openxmlformats.org/officeDocument/2006/relationships/worksheet" Target="/xl/worksheets/sheet4.xml" Id="Rde2c41c7ec494fb5" /><Relationship Type="http://schemas.openxmlformats.org/officeDocument/2006/relationships/worksheet" Target="/xl/worksheets/sheet5.xml" Id="Rb9fda56228694c8b" /><Relationship Type="http://schemas.openxmlformats.org/officeDocument/2006/relationships/worksheet" Target="/xl/worksheets/sheet6.xml" Id="R6a606959a1534d93" /><Relationship Type="http://schemas.openxmlformats.org/officeDocument/2006/relationships/worksheet" Target="/xl/worksheets/sheet7.xml" Id="Rcf2906419df14089" /><Relationship Type="http://schemas.openxmlformats.org/officeDocument/2006/relationships/worksheet" Target="/xl/worksheets/sheet8.xml" Id="R1dbd11e0afa146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64" hidden="0" customWidth="1"/>
  </x:cols>
  <x:sheetData>
    <x:row r="1">
      <x:c r="A1" s="7" t="str">
        <x:v>Data-driven materials selection: Al–Co–Cr–Cu–Fe–Ni hardness — Instructor key</x:v>
      </x:c>
      <x:c r="B1" s="7"/>
      <x:c r="C1" s="7"/>
      <x:c r="D1" s="7"/>
      <x:c r="E1" s="7"/>
      <x:c r="F1" s="7"/>
      <x:c r="G1" s="7"/>
      <x:c r="H1" s="7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15" t="str">
        <x:v>Design brief: Select an as-cast alloy for a compact contact insert in which resistance to local permanent indentation is important. The initial target is hardness ≥ 450 HV. Lower density and lower raw-material cost are preferred, but no single weighting is imposed.</x:v>
      </x:c>
      <x:c r="B3" s="15"/>
      <x:c r="C3" s="15"/>
      <x:c r="D3" s="15"/>
      <x:c r="E3" s="15"/>
      <x:c r="F3" s="15"/>
      <x:c r="G3" s="15"/>
      <x:c r="H3" s="1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5"/>
      <x:c r="B4" s="15"/>
      <x:c r="C4" s="15"/>
      <x:c r="D4" s="15"/>
      <x:c r="E4" s="15"/>
      <x:c r="F4" s="15"/>
      <x:c r="G4" s="15"/>
      <x:c r="H4" s="1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5"/>
      <x:c r="B5" s="15"/>
      <x:c r="C5" s="15"/>
      <x:c r="D5" s="15"/>
      <x:c r="E5" s="15"/>
      <x:c r="F5" s="15"/>
      <x:c r="G5" s="15"/>
      <x:c r="H5" s="15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4" t="str">
        <x:v>Stage</x:v>
      </x:c>
      <x:c r="B7" s="24" t="str">
        <x:v>What students do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0" t="str">
        <x:v>1 — Physical reasoning</x:v>
      </x:c>
      <x:c r="B8" s="30" t="str">
        <x:v>Inspect the 15 compositions. For at least 3 assigned candidates calculate VEC, atomic-size mismatch δ, and ideal mixture density. Predict which should resist plastic deformation more strongly and justify why.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0" t="str">
        <x:v>2 — ML reveal</x:v>
      </x:c>
      <x:c r="B9" s="30" t="str">
        <x:v>Use the trained composition→hardness model. Apply the ≥450 HV screen, compare specific hardness (HV/ρ) and the relative cost index, then make an ML-informed shortlist.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0" t="str">
        <x:v>3 — Experimental reveal</x:v>
      </x:c>
      <x:c r="B10" s="30" t="str">
        <x:v>Compare ML predictions with measured Vickers hardness. Identify false passes/fails and quantify prediction error.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0" t="str">
        <x:v>4 — Final recommendation</x:v>
      </x:c>
      <x:c r="B11" s="30" t="str">
        <x:v>Recommend one alloy. The answer may differ between groups if the trade-off between hardness, mass and cost is justified.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4" t="str">
        <x:v>Equations used in Stage 1</x:v>
      </x:c>
      <x:c r="B13" s="34"/>
      <x:c r="C13" s="34"/>
      <x:c r="D13" s="34"/>
      <x:c r="E13" s="34"/>
      <x:c r="F13" s="34"/>
      <x:c r="G13" s="34"/>
      <x:c r="H13" s="34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4" t="str">
        <x:v>Quantity</x:v>
      </x:c>
      <x:c r="B15" s="24" t="str">
        <x:v>Equation</x:v>
      </x:c>
      <x:c r="C15" s="24" t="str">
        <x:v>How it is used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0" t="str">
        <x:v>Valence electron concentration</x:v>
      </x:c>
      <x:c r="B16" s="30" t="str">
        <x:v>VEC = Σ xᵢ(VECᵢ)</x:v>
      </x:c>
      <x:c r="C16" s="30" t="str">
        <x:v>Use as a qualitative electronic/phase-tendency descriptor; it is not a hardness equation.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0" t="str">
        <x:v>Mean atomic radius</x:v>
      </x:c>
      <x:c r="B17" s="30" t="str">
        <x:v>r̄ = Σ xᵢrᵢ</x:v>
      </x:c>
      <x:c r="C17" s="30" t="str">
        <x:v>Needed for the atomic-size mismatch calculation.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0" t="str">
        <x:v>Atomic-size mismatch</x:v>
      </x:c>
      <x:c r="B18" s="30" t="str">
        <x:v>δ = 100 × √[Σ xᵢ(1 − rᵢ/r̄)²]</x:v>
      </x:c>
      <x:c r="C18" s="30" t="str">
        <x:v>A simple measure of atomic-size/lattice mismatch; larger δ does not guarantee higher hardness.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0" t="str">
        <x:v>Ideal mixture density</x:v>
      </x:c>
      <x:c r="B19" s="30" t="str">
        <x:v>ρ = [Σ xᵢMᵢ] / [Σ xᵢMᵢ/ρᵢ]</x:v>
      </x:c>
      <x:c r="C19" s="30" t="str">
        <x:v>Used directly in the later hardness-to-weight comparison.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 t="str">
        <x:v>Specific hardness</x:v>
      </x:c>
      <x:c r="B20" s="2" t="str">
        <x:v>HV/ρ</x:v>
      </x:c>
      <x:c r="C20" s="2" t="str">
        <x:v>A selection metric used after ML or experimental hardness is available.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41" t="str">
        <x:v>Important: the descriptors above do not calculate hardness. That is intentional. They provide physically interpretable expectations, while the ML model learns the nonlinear composition→hardness relationship from experimental data. The measured hardness is the final reference, not the ML prediction.</x:v>
      </x:c>
      <x:c r="B22" s="41"/>
      <x:c r="C22" s="41"/>
      <x:c r="D22" s="41"/>
      <x:c r="E22" s="41"/>
      <x:c r="F22" s="41"/>
      <x:c r="G22" s="41"/>
      <x:c r="H22" s="41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15" t="str">
        <x:v>Dataset/model: 155 as-cast Al–Co–Cr–Cu–Fe–Ni compositions with experimental Vickers hardness. The classroom model is trained on 140 compositions and the 15 candidates are held out. The 15-candidate set was selected from composition space without using the hardness target.</x:v>
      </x:c>
      <x:c r="B26" s="15"/>
      <x:c r="C26" s="15"/>
      <x:c r="D26" s="15"/>
      <x:c r="E26" s="15"/>
      <x:c r="F26" s="15"/>
      <x:c r="G26" s="15"/>
      <x:c r="H26" s="15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H1"/>
    <x:mergeCell ref="A3:H5"/>
    <x:mergeCell ref="A13:H13"/>
    <x:mergeCell ref="A22:H24"/>
    <x:mergeCell ref="A26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7" t="str">
        <x:v>Element constants used in the student calculations</x:v>
      </x:c>
      <x:c r="B1" s="7"/>
      <x:c r="C1" s="7"/>
      <x:c r="D1" s="7"/>
      <x:c r="E1" s="7"/>
      <x:c r="F1" s="7"/>
      <x:c r="G1" s="7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4" t="str">
        <x:v>Element</x:v>
      </x:c>
      <x:c r="B3" s="24" t="str">
        <x:v>VEC contribution</x:v>
      </x:c>
      <x:c r="C3" s="24" t="str">
        <x:v>Atomic radius (pm)</x:v>
      </x:c>
      <x:c r="D3" s="24" t="str">
        <x:v>Atomic mass (g/mol)</x:v>
      </x:c>
      <x:c r="E3" s="24" t="str">
        <x:v>Element density (g/cm³)</x:v>
      </x:c>
      <x:c r="F3" s="24" t="str">
        <x:v>Teaching cost weight</x:v>
      </x:c>
      <x:c r="G3" s="24" t="str">
        <x:v>Note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Al</x:v>
      </x:c>
      <x:c r="B4" s="46" t="n">
        <x:v>3</x:v>
      </x:c>
      <x:c r="C4" s="46" t="n">
        <x:v>143</x:v>
      </x:c>
      <x:c r="D4" s="46" t="n">
        <x:v>26.9815</x:v>
      </x:c>
      <x:c r="E4" s="46" t="n">
        <x:v>2.7</x:v>
      </x:c>
      <x:c r="F4" s="46" t="n">
        <x:v>2</x:v>
      </x:c>
      <x:c r="G4" s="2" t="str">
        <x:v>Cost weight is an illustrative classroom index, not a market price.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Co</x:v>
      </x:c>
      <x:c r="B5" s="46" t="n">
        <x:v>9</x:v>
      </x:c>
      <x:c r="C5" s="46" t="n">
        <x:v>125</x:v>
      </x:c>
      <x:c r="D5" s="46" t="n">
        <x:v>58.9332</x:v>
      </x:c>
      <x:c r="E5" s="46" t="n">
        <x:v>8.9</x:v>
      </x:c>
      <x:c r="F5" s="46" t="n">
        <x:v>25</x:v>
      </x:c>
      <x:c r="G5" s="2" t="str">
        <x:v>Cost weight is an illustrative classroom index, not a market price.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Cr</x:v>
      </x:c>
      <x:c r="B6" s="46" t="n">
        <x:v>6</x:v>
      </x:c>
      <x:c r="C6" s="46" t="n">
        <x:v>128</x:v>
      </x:c>
      <x:c r="D6" s="46" t="n">
        <x:v>51.9961</x:v>
      </x:c>
      <x:c r="E6" s="46" t="n">
        <x:v>7.19</x:v>
      </x:c>
      <x:c r="F6" s="46" t="n">
        <x:v>2.5</x:v>
      </x:c>
      <x:c r="G6" s="2" t="str">
        <x:v>Cost weight is an illustrative classroom index, not a market price.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Cu</x:v>
      </x:c>
      <x:c r="B7" s="46" t="n">
        <x:v>11</x:v>
      </x:c>
      <x:c r="C7" s="46" t="n">
        <x:v>128</x:v>
      </x:c>
      <x:c r="D7" s="46" t="n">
        <x:v>63.546</x:v>
      </x:c>
      <x:c r="E7" s="46" t="n">
        <x:v>8.96</x:v>
      </x:c>
      <x:c r="F7" s="46" t="n">
        <x:v>8</x:v>
      </x:c>
      <x:c r="G7" s="2" t="str">
        <x:v>Cost weight is an illustrative classroom index, not a market price.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Fe</x:v>
      </x:c>
      <x:c r="B8" s="46" t="n">
        <x:v>8</x:v>
      </x:c>
      <x:c r="C8" s="46" t="n">
        <x:v>126</x:v>
      </x:c>
      <x:c r="D8" s="46" t="n">
        <x:v>55.845</x:v>
      </x:c>
      <x:c r="E8" s="46" t="n">
        <x:v>7.874</x:v>
      </x:c>
      <x:c r="F8" s="46" t="n">
        <x:v>1</x:v>
      </x:c>
      <x:c r="G8" s="2" t="str">
        <x:v>Cost weight is an illustrative classroom index, not a market price.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Ni</x:v>
      </x:c>
      <x:c r="B9" s="46" t="n">
        <x:v>10</x:v>
      </x:c>
      <x:c r="C9" s="46" t="n">
        <x:v>124</x:v>
      </x:c>
      <x:c r="D9" s="46" t="n">
        <x:v>58.6934</x:v>
      </x:c>
      <x:c r="E9" s="46" t="n">
        <x:v>8.908</x:v>
      </x:c>
      <x:c r="F9" s="46" t="n">
        <x:v>10</x:v>
      </x:c>
      <x:c r="G9" s="2" t="str">
        <x:v>Cost weight is an illustrative classroom index, not a market price.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5" t="str">
        <x:v>Why these constants? VEC is used only as a simple electronic/phase-tendency descriptor; atomic radius is used to calculate atomic-size mismatch δ; atomic mass and elemental density are used to estimate the alloy density by an ideal rule of mixtures. The cost weights are deliberately relative: Fe = 1, Al = 2, Cr = 2.5, Cu = 8, Ni = 10, Co = 25. They are included only to create a transparent cost trade-off in the classroom.</x:v>
      </x:c>
      <x:c r="B11" s="15"/>
      <x:c r="C11" s="15"/>
      <x:c r="D11" s="15"/>
      <x:c r="E11" s="15"/>
      <x:c r="F11" s="15"/>
      <x:c r="G11" s="15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15"/>
      <x:c r="B12" s="15"/>
      <x:c r="C12" s="15"/>
      <x:c r="D12" s="15"/>
      <x:c r="E12" s="15"/>
      <x:c r="F12" s="15"/>
      <x:c r="G12" s="15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15"/>
      <x:c r="B13" s="15"/>
      <x:c r="C13" s="15"/>
      <x:c r="D13" s="15"/>
      <x:c r="E13" s="15"/>
      <x:c r="F13" s="15"/>
      <x:c r="G13" s="15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15"/>
      <x:c r="B14" s="15"/>
      <x:c r="C14" s="15"/>
      <x:c r="D14" s="15"/>
      <x:c r="E14" s="15"/>
      <x:c r="F14" s="15"/>
      <x:c r="G14" s="15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15"/>
      <x:c r="B15" s="15"/>
      <x:c r="C15" s="15"/>
      <x:c r="D15" s="15"/>
      <x:c r="E15" s="15"/>
      <x:c r="F15" s="15"/>
      <x:c r="G15" s="15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G1"/>
    <x:mergeCell ref="A11:G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7" t="str">
        <x:v>Descriptor answer key for all 15 candidates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4" t="str">
        <x:v>Candidate</x:v>
      </x:c>
      <x:c r="B3" s="24" t="str">
        <x:v>Al</x:v>
      </x:c>
      <x:c r="C3" s="24" t="str">
        <x:v>Co</x:v>
      </x:c>
      <x:c r="D3" s="24" t="str">
        <x:v>Cr</x:v>
      </x:c>
      <x:c r="E3" s="24" t="str">
        <x:v>Cu</x:v>
      </x:c>
      <x:c r="F3" s="24" t="str">
        <x:v>Fe</x:v>
      </x:c>
      <x:c r="G3" s="24" t="str">
        <x:v>Ni</x:v>
      </x:c>
      <x:c r="H3" s="24" t="str">
        <x:v>r̄ (pm)</x:v>
      </x:c>
      <x:c r="I3" s="24" t="str">
        <x:v>VEC</x:v>
      </x:c>
      <x:c r="J3" s="24" t="str">
        <x:v>δ (%)</x:v>
      </x:c>
      <x:c r="K3" s="24" t="str">
        <x:v>Density</x:v>
      </x:c>
      <x:c r="L3" s="24" t="str">
        <x:v>ML HV</x:v>
      </x:c>
      <x:c r="M3" s="24" t="str">
        <x:v>Experimental HV</x:v>
      </x:c>
      <x:c r="N3" s="24" t="str">
        <x:v>Specific exp. hardness</x:v>
      </x:c>
      <x:c r="O3" s="24" t="str">
        <x:v>Raw cost score</x:v>
      </x:c>
      <x:c r="P3" s="24" t="str">
        <x:v>Relative cost index</x:v>
      </x:c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0" t="str">
        <x:v>A</x:v>
      </x:c>
      <x:c r="B4" s="48" t="n">
        <x:v>2.4</x:v>
      </x:c>
      <x:c r="C4" s="48" t="n">
        <x:v>24.4</x:v>
      </x:c>
      <x:c r="D4" s="48" t="n">
        <x:v>24.4</x:v>
      </x:c>
      <x:c r="E4" s="48" t="n">
        <x:v>0</x:v>
      </x:c>
      <x:c r="F4" s="48" t="n">
        <x:v>24.4</x:v>
      </x:c>
      <x:c r="G4" s="48" t="n">
        <x:v>24.4</x:v>
      </x:c>
      <x:c r="H4" s="48" t="n">
        <x:f>(B4*'Element Constants'!$C$4+C4*'Element Constants'!$C$5+D4*'Element Constants'!$C$6+E4*'Element Constants'!$C$7+F4*'Element Constants'!$C$8+G4*'Element Constants'!$C$9)/(SUM(B4:G4))</x:f>
        <x:v>126.164</x:v>
      </x:c>
      <x:c r="I4" s="48" t="n">
        <x:f>(B4*'Element Constants'!$B$4+C4*'Element Constants'!$B$5+D4*'Element Constants'!$B$6+E4*'Element Constants'!$B$7+F4*'Element Constants'!$B$8+G4*'Element Constants'!$B$9)/(SUM(B4:G4))</x:f>
        <x:v>8.123999999999999</x:v>
      </x:c>
      <x:c r="J4" s="48" t="n">
        <x:f>100*SQRT((B4/(SUM(B4:G4)))*(1-'Element Constants'!$C$4/H4)^2+(C4/(SUM(B4:G4)))*(1-'Element Constants'!$C$5/H4)^2+(D4/(SUM(B4:G4)))*(1-'Element Constants'!$C$6/H4)^2+(E4/(SUM(B4:G4)))*(1-'Element Constants'!$C$7/H4)^2+(F4/(SUM(B4:G4)))*(1-'Element Constants'!$C$8/H4)^2+(G4/(SUM(B4:G4)))*(1-'Element Constants'!$C$9/H4)^2)</x:f>
        <x:v>2.3917016636854744</x:v>
      </x:c>
      <x:c r="K4" s="48" t="n">
        <x:f>(B4*'Element Constants'!$D$4+C4*'Element Constants'!$D$5+D4*'Element Constants'!$D$6+E4*'Element Constants'!$D$7+F4*'Element Constants'!$D$8+G4*'Element Constants'!$D$9)/(B4*'Element Constants'!$D$4/'Element Constants'!$E$4+C4*'Element Constants'!$D$5/'Element Constants'!$E$5+D4*'Element Constants'!$D$6/'Element Constants'!$E$6+E4*'Element Constants'!$D$7/'Element Constants'!$E$7+F4*'Element Constants'!$D$8/'Element Constants'!$E$8+G4*'Element Constants'!$D$9/'Element Constants'!$E$9)</x:f>
        <x:v>7.9993453827699685</x:v>
      </x:c>
      <x:c r="L4" s="48" t="n">
        <x:v>143.79</x:v>
      </x:c>
      <x:c r="M4" s="48" t="n">
        <x:v>118</x:v>
      </x:c>
      <x:c r="N4" s="48" t="n">
        <x:f>M4/K4</x:f>
        <x:v>14.751207049287277</x:v>
      </x:c>
      <x:c r="O4" s="48" t="n">
        <x:f>(B4*'Element Constants'!$D$4*'Element Constants'!$F$4+C4*'Element Constants'!$D$5*'Element Constants'!$F$5+D4*'Element Constants'!$D$6*'Element Constants'!$F$6+E4*'Element Constants'!$D$7*'Element Constants'!$F$7+F4*'Element Constants'!$D$8*'Element Constants'!$F$8+G4*'Element Constants'!$D$9*'Element Constants'!$F$9)/(B4*'Element Constants'!$D$4+C4*'Element Constants'!$D$5+D4*'Element Constants'!$D$6+E4*'Element Constants'!$D$7+F4*'Element Constants'!$D$8+G4*'Element Constants'!$D$9)</x:f>
        <x:v>9.86932806053475</x:v>
      </x:c>
      <x:c r="P4" s="48" t="n">
        <x:f>O4/MIN($O$4:$O$18)</x:f>
        <x:v>3.251695541949492</x:v>
      </x:c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0" t="str">
        <x:v>B</x:v>
      </x:c>
      <x:c r="B5" s="48" t="n">
        <x:v>0</x:v>
      </x:c>
      <x:c r="C5" s="48" t="n">
        <x:v>5</x:v>
      </x:c>
      <x:c r="D5" s="48" t="n">
        <x:v>23.8</x:v>
      </x:c>
      <x:c r="E5" s="48" t="n">
        <x:v>23.8</x:v>
      </x:c>
      <x:c r="F5" s="48" t="n">
        <x:v>23.8</x:v>
      </x:c>
      <x:c r="G5" s="48" t="n">
        <x:v>23.8</x:v>
      </x:c>
      <x:c r="H5" s="48" t="n">
        <x:f>(B5*'Element Constants'!$C$4+C5*'Element Constants'!$C$5+D5*'Element Constants'!$C$6+E5*'Element Constants'!$C$7+F5*'Element Constants'!$C$8+G5*'Element Constants'!$C$9)/(SUM(B5:G5))</x:f>
        <x:v>126.42514970059881</x:v>
      </x:c>
      <x:c r="I5" s="48" t="n">
        <x:f>(B5*'Element Constants'!$B$4+C5*'Element Constants'!$B$5+D5*'Element Constants'!$B$6+E5*'Element Constants'!$B$7+F5*'Element Constants'!$B$8+G5*'Element Constants'!$B$9)/(SUM(B5:G5))</x:f>
        <x:v>8.7624750499002</x:v>
      </x:c>
      <x:c r="J5" s="48" t="n">
        <x:f>100*SQRT((B5/(SUM(B5:G5)))*(1-'Element Constants'!$C$4/H5)^2+(C5/(SUM(B5:G5)))*(1-'Element Constants'!$C$5/H5)^2+(D5/(SUM(B5:G5)))*(1-'Element Constants'!$C$6/H5)^2+(E5/(SUM(B5:G5)))*(1-'Element Constants'!$C$7/H5)^2+(F5/(SUM(B5:G5)))*(1-'Element Constants'!$C$8/H5)^2+(G5/(SUM(B5:G5)))*(1-'Element Constants'!$C$9/H5)^2)</x:f>
        <x:v>1.3043881647033837</x:v>
      </x:c>
      <x:c r="K5" s="48" t="n">
        <x:f>(B5*'Element Constants'!$D$4+C5*'Element Constants'!$D$5+D5*'Element Constants'!$D$6+E5*'Element Constants'!$D$7+F5*'Element Constants'!$D$8+G5*'Element Constants'!$D$9)/(B5*'Element Constants'!$D$4/'Element Constants'!$E$4+C5*'Element Constants'!$D$5/'Element Constants'!$E$5+D5*'Element Constants'!$D$6/'Element Constants'!$E$6+E5*'Element Constants'!$D$7/'Element Constants'!$E$7+F5*'Element Constants'!$D$8/'Element Constants'!$E$8+G5*'Element Constants'!$D$9/'Element Constants'!$E$9)</x:f>
        <x:v>8.248053890208652</x:v>
      </x:c>
      <x:c r="L5" s="48" t="n">
        <x:v>147.28333333333333</x:v>
      </x:c>
      <x:c r="M5" s="48" t="n">
        <x:v>146</x:v>
      </x:c>
      <x:c r="N5" s="48" t="n">
        <x:f>M5/K5</x:f>
        <x:v>17.701145257224624</x:v>
      </x:c>
      <x:c r="O5" s="48" t="n">
        <x:f>(B5*'Element Constants'!$D$4*'Element Constants'!$F$4+C5*'Element Constants'!$D$5*'Element Constants'!$F$5+D5*'Element Constants'!$D$6*'Element Constants'!$F$6+E5*'Element Constants'!$D$7*'Element Constants'!$F$7+F5*'Element Constants'!$D$8*'Element Constants'!$F$8+G5*'Element Constants'!$D$9*'Element Constants'!$F$9)/(B5*'Element Constants'!$D$4+C5*'Element Constants'!$D$5+D5*'Element Constants'!$D$6+E5*'Element Constants'!$D$7+F5*'Element Constants'!$D$8+G5*'Element Constants'!$D$9)</x:f>
        <x:v>6.560467766690913</x:v>
      </x:c>
      <x:c r="P5" s="48" t="n">
        <x:f>O5/MIN($O$4:$O$18)</x:f>
        <x:v>2.1615092394543742</x:v>
      </x:c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0" t="str">
        <x:v>C</x:v>
      </x:c>
      <x:c r="B6" s="48" t="n">
        <x:v>0</x:v>
      </x:c>
      <x:c r="C6" s="48" t="n">
        <x:v>20</x:v>
      </x:c>
      <x:c r="D6" s="48" t="n">
        <x:v>20</x:v>
      </x:c>
      <x:c r="E6" s="48" t="n">
        <x:v>20</x:v>
      </x:c>
      <x:c r="F6" s="48" t="n">
        <x:v>20</x:v>
      </x:c>
      <x:c r="G6" s="48" t="n">
        <x:v>20</x:v>
      </x:c>
      <x:c r="H6" s="48" t="n">
        <x:f>(B6*'Element Constants'!$C$4+C6*'Element Constants'!$C$5+D6*'Element Constants'!$C$6+E6*'Element Constants'!$C$7+F6*'Element Constants'!$C$8+G6*'Element Constants'!$C$9)/(SUM(B6:G6))</x:f>
        <x:v>126.2</x:v>
      </x:c>
      <x:c r="I6" s="48" t="n">
        <x:f>(B6*'Element Constants'!$B$4+C6*'Element Constants'!$B$5+D6*'Element Constants'!$B$6+E6*'Element Constants'!$B$7+F6*'Element Constants'!$B$8+G6*'Element Constants'!$B$9)/(SUM(B6:G6))</x:f>
        <x:v>8.8</x:v>
      </x:c>
      <x:c r="J6" s="48" t="n">
        <x:f>100*SQRT((B6/(SUM(B6:G6)))*(1-'Element Constants'!$C$4/H6)^2+(C6/(SUM(B6:G6)))*(1-'Element Constants'!$C$5/H6)^2+(D6/(SUM(B6:G6)))*(1-'Element Constants'!$C$6/H6)^2+(E6/(SUM(B6:G6)))*(1-'Element Constants'!$C$7/H6)^2+(F6/(SUM(B6:G6)))*(1-'Element Constants'!$C$8/H6)^2+(G6/(SUM(B6:G6)))*(1-'Element Constants'!$C$9/H6)^2)</x:f>
        <x:v>1.2678288431061853</x:v>
      </x:c>
      <x:c r="K6" s="48" t="n">
        <x:f>(B6*'Element Constants'!$D$4+C6*'Element Constants'!$D$5+D6*'Element Constants'!$D$6+E6*'Element Constants'!$D$7+F6*'Element Constants'!$D$8+G6*'Element Constants'!$D$9)/(B6*'Element Constants'!$D$4/'Element Constants'!$E$4+C6*'Element Constants'!$D$5/'Element Constants'!$E$5+D6*'Element Constants'!$D$6/'Element Constants'!$E$6+E6*'Element Constants'!$D$7/'Element Constants'!$E$7+F6*'Element Constants'!$D$8/'Element Constants'!$E$8+G6*'Element Constants'!$D$9/'Element Constants'!$E$9)</x:f>
        <x:v>8.346534417621776</x:v>
      </x:c>
      <x:c r="L6" s="48" t="n">
        <x:v>163.7</x:v>
      </x:c>
      <x:c r="M6" s="48" t="n">
        <x:v>155</x:v>
      </x:c>
      <x:c r="N6" s="48" t="n">
        <x:f>M6/K6</x:f>
        <x:v>18.570581782153006</x:v>
      </x:c>
      <x:c r="O6" s="48" t="n">
        <x:f>(B6*'Element Constants'!$D$4*'Element Constants'!$F$4+C6*'Element Constants'!$D$5*'Element Constants'!$F$5+D6*'Element Constants'!$D$6*'Element Constants'!$F$6+E6*'Element Constants'!$D$7*'Element Constants'!$F$7+F6*'Element Constants'!$D$8*'Element Constants'!$F$8+G6*'Element Constants'!$D$9*'Element Constants'!$F$9)/(B6*'Element Constants'!$D$4+C6*'Element Constants'!$D$5+D6*'Element Constants'!$D$6+E6*'Element Constants'!$D$7+F6*'Element Constants'!$D$8+G6*'Element Constants'!$D$9)</x:f>
        <x:v>9.53057675120591</x:v>
      </x:c>
      <x:c r="P6" s="48" t="n">
        <x:f>O6/MIN($O$4:$O$18)</x:f>
        <x:v>3.1400854996428773</x:v>
      </x:c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0" t="str">
        <x:v>D</x:v>
      </x:c>
      <x:c r="B7" s="48" t="n">
        <x:v>15.4</x:v>
      </x:c>
      <x:c r="C7" s="48" t="n">
        <x:v>15.4</x:v>
      </x:c>
      <x:c r="D7" s="48" t="n">
        <x:v>15.4</x:v>
      </x:c>
      <x:c r="E7" s="48" t="n">
        <x:v>0</x:v>
      </x:c>
      <x:c r="F7" s="48" t="n">
        <x:v>15.4</x:v>
      </x:c>
      <x:c r="G7" s="48" t="n">
        <x:v>38.5</x:v>
      </x:c>
      <x:c r="H7" s="48" t="n">
        <x:f>(B7*'Element Constants'!$C$4+C7*'Element Constants'!$C$5+D7*'Element Constants'!$C$6+E7*'Element Constants'!$C$7+F7*'Element Constants'!$C$8+G7*'Element Constants'!$C$9)/(SUM(B7:G7))</x:f>
        <x:v>128.00000000000003</x:v>
      </x:c>
      <x:c r="I7" s="48" t="n">
        <x:f>(B7*'Element Constants'!$B$4+C7*'Element Constants'!$B$5+D7*'Element Constants'!$B$6+E7*'Element Constants'!$B$7+F7*'Element Constants'!$B$8+G7*'Element Constants'!$B$9)/(SUM(B7:G7))</x:f>
        <x:v>7.846153846153848</x:v>
      </x:c>
      <x:c r="J7" s="48" t="n">
        <x:f>100*SQRT((B7/(SUM(B7:G7)))*(1-'Element Constants'!$C$4/H7)^2+(C7/(SUM(B7:G7)))*(1-'Element Constants'!$C$5/H7)^2+(D7/(SUM(B7:G7)))*(1-'Element Constants'!$C$6/H7)^2+(E7/(SUM(B7:G7)))*(1-'Element Constants'!$C$7/H7)^2+(F7/(SUM(B7:G7)))*(1-'Element Constants'!$C$8/H7)^2+(G7/(SUM(B7:G7)))*(1-'Element Constants'!$C$9/H7)^2)</x:f>
        <x:v>5.109233487219298</x:v>
      </x:c>
      <x:c r="K7" s="48" t="n">
        <x:f>(B7*'Element Constants'!$D$4+C7*'Element Constants'!$D$5+D7*'Element Constants'!$D$6+E7*'Element Constants'!$D$7+F7*'Element Constants'!$D$8+G7*'Element Constants'!$D$9)/(B7*'Element Constants'!$D$4/'Element Constants'!$E$4+C7*'Element Constants'!$D$5/'Element Constants'!$E$5+D7*'Element Constants'!$D$6/'Element Constants'!$E$6+E7*'Element Constants'!$D$7/'Element Constants'!$E$7+F7*'Element Constants'!$D$8/'Element Constants'!$E$8+G7*'Element Constants'!$D$9/'Element Constants'!$E$9)</x:f>
        <x:v>7.181649885946389</x:v>
      </x:c>
      <x:c r="L7" s="48" t="n">
        <x:v>294.25666666666666</x:v>
      </x:c>
      <x:c r="M7" s="48" t="n">
        <x:v>265</x:v>
      </x:c>
      <x:c r="N7" s="48" t="n">
        <x:f>M7/K7</x:f>
        <x:v>36.89959886774383</x:v>
      </x:c>
      <x:c r="O7" s="48" t="n">
        <x:f>(B7*'Element Constants'!$D$4*'Element Constants'!$F$4+C7*'Element Constants'!$D$5*'Element Constants'!$F$5+D7*'Element Constants'!$D$6*'Element Constants'!$F$6+E7*'Element Constants'!$D$7*'Element Constants'!$F$7+F7*'Element Constants'!$D$8*'Element Constants'!$F$8+G7*'Element Constants'!$D$9*'Element Constants'!$F$9)/(B7*'Element Constants'!$D$4+C7*'Element Constants'!$D$5+D7*'Element Constants'!$D$6+E7*'Element Constants'!$D$7+F7*'Element Constants'!$D$8+G7*'Element Constants'!$D$9)</x:f>
        <x:v>9.340861078453859</x:v>
      </x:c>
      <x:c r="P7" s="48" t="n">
        <x:f>O7/MIN($O$4:$O$18)</x:f>
        <x:v>3.0775789537522176</x:v>
      </x:c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0" t="str">
        <x:v>E</x:v>
      </x:c>
      <x:c r="B8" s="48" t="n">
        <x:v>10.7</x:v>
      </x:c>
      <x:c r="C8" s="48" t="n">
        <x:v>0</x:v>
      </x:c>
      <x:c r="D8" s="48" t="n">
        <x:v>17.9</x:v>
      </x:c>
      <x:c r="E8" s="48" t="n">
        <x:v>17.9</x:v>
      </x:c>
      <x:c r="F8" s="48" t="n">
        <x:v>17.9</x:v>
      </x:c>
      <x:c r="G8" s="48" t="n">
        <x:v>35.7</x:v>
      </x:c>
      <x:c r="H8" s="48" t="n">
        <x:f>(B8*'Element Constants'!$C$4+C8*'Element Constants'!$C$5+D8*'Element Constants'!$C$6+E8*'Element Constants'!$C$7+F8*'Element Constants'!$C$8+G8*'Element Constants'!$C$9)/(SUM(B8:G8))</x:f>
        <x:v>127.81918081918081</x:v>
      </x:c>
      <x:c r="I8" s="48" t="n">
        <x:f>(B8*'Element Constants'!$B$4+C8*'Element Constants'!$B$5+D8*'Element Constants'!$B$6+E8*'Element Constants'!$B$7+F8*'Element Constants'!$B$8+G8*'Element Constants'!$B$9)/(SUM(B8:G8))</x:f>
        <x:v>8.357642357642357</x:v>
      </x:c>
      <x:c r="J8" s="48" t="n">
        <x:f>100*SQRT((B8/(SUM(B8:G8)))*(1-'Element Constants'!$C$4/H8)^2+(C8/(SUM(B8:G8)))*(1-'Element Constants'!$C$5/H8)^2+(D8/(SUM(B8:G8)))*(1-'Element Constants'!$C$6/H8)^2+(E8/(SUM(B8:G8)))*(1-'Element Constants'!$C$7/H8)^2+(F8/(SUM(B8:G8)))*(1-'Element Constants'!$C$8/H8)^2+(G8/(SUM(B8:G8)))*(1-'Element Constants'!$C$9/H8)^2)</x:f>
        <x:v>4.316433902872773</x:v>
      </x:c>
      <x:c r="K8" s="48" t="n">
        <x:f>(B8*'Element Constants'!$D$4+C8*'Element Constants'!$D$5+D8*'Element Constants'!$D$6+E8*'Element Constants'!$D$7+F8*'Element Constants'!$D$8+G8*'Element Constants'!$D$9)/(B8*'Element Constants'!$D$4/'Element Constants'!$E$4+C8*'Element Constants'!$D$5/'Element Constants'!$E$5+D8*'Element Constants'!$D$6/'Element Constants'!$E$6+E8*'Element Constants'!$D$7/'Element Constants'!$E$7+F8*'Element Constants'!$D$8/'Element Constants'!$E$8+G8*'Element Constants'!$D$9/'Element Constants'!$E$9)</x:f>
        <x:v>7.514669457107665</x:v>
      </x:c>
      <x:c r="L8" s="48" t="n">
        <x:v>278.51</x:v>
      </x:c>
      <x:c r="M8" s="48" t="n">
        <x:v>278</x:v>
      </x:c>
      <x:c r="N8" s="48" t="n">
        <x:f>M8/K8</x:f>
        <x:v>36.99430847714224</x:v>
      </x:c>
      <x:c r="O8" s="48" t="n">
        <x:f>(B8*'Element Constants'!$D$4*'Element Constants'!$F$4+C8*'Element Constants'!$D$5*'Element Constants'!$F$5+D8*'Element Constants'!$D$6*'Element Constants'!$F$6+E8*'Element Constants'!$D$7*'Element Constants'!$F$7+F8*'Element Constants'!$D$8*'Element Constants'!$F$8+G8*'Element Constants'!$D$9*'Element Constants'!$F$9)/(B8*'Element Constants'!$D$4+C8*'Element Constants'!$D$5+D8*'Element Constants'!$D$6+E8*'Element Constants'!$D$7+F8*'Element Constants'!$D$8+G8*'Element Constants'!$D$9)</x:f>
        <x:v>6.228521481316799</x:v>
      </x:c>
      <x:c r="P8" s="48" t="n">
        <x:f>O8/MIN($O$4:$O$18)</x:f>
        <x:v>2.052141281504538</x:v>
      </x:c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0" t="str">
        <x:v>F</x:v>
      </x:c>
      <x:c r="B9" s="48" t="n">
        <x:v>6.3</x:v>
      </x:c>
      <x:c r="C9" s="48" t="n">
        <x:v>0</x:v>
      </x:c>
      <x:c r="D9" s="48" t="n">
        <x:v>31.3</x:v>
      </x:c>
      <x:c r="E9" s="48" t="n">
        <x:v>0</x:v>
      </x:c>
      <x:c r="F9" s="48" t="n">
        <x:v>46.9</x:v>
      </x:c>
      <x:c r="G9" s="48" t="n">
        <x:v>15.6</x:v>
      </x:c>
      <x:c r="H9" s="48" t="n">
        <x:f>(B9*'Element Constants'!$C$4+C9*'Element Constants'!$C$5+D9*'Element Constants'!$C$6+E9*'Element Constants'!$C$7+F9*'Element Constants'!$C$8+G9*'Element Constants'!$C$9)/(SUM(B9:G9))</x:f>
        <x:v>127.3836163836164</x:v>
      </x:c>
      <x:c r="I9" s="48" t="n">
        <x:f>(B9*'Element Constants'!$B$4+C9*'Element Constants'!$B$5+D9*'Element Constants'!$B$6+E9*'Element Constants'!$B$7+F9*'Element Constants'!$B$8+G9*'Element Constants'!$B$9)/(SUM(B9:G9))</x:f>
        <x:v>7.371628371628372</x:v>
      </x:c>
      <x:c r="J9" s="48" t="n">
        <x:f>100*SQRT((B9/(SUM(B9:G9)))*(1-'Element Constants'!$C$4/H9)^2+(C9/(SUM(B9:G9)))*(1-'Element Constants'!$C$5/H9)^2+(D9/(SUM(B9:G9)))*(1-'Element Constants'!$C$6/H9)^2+(E9/(SUM(B9:G9)))*(1-'Element Constants'!$C$7/H9)^2+(F9/(SUM(B9:G9)))*(1-'Element Constants'!$C$8/H9)^2+(G9/(SUM(B9:G9)))*(1-'Element Constants'!$C$9/H9)^2)</x:f>
        <x:v>3.344315990379184</x:v>
      </x:c>
      <x:c r="K9" s="48" t="n">
        <x:f>(B9*'Element Constants'!$D$4+C9*'Element Constants'!$D$5+D9*'Element Constants'!$D$6+E9*'Element Constants'!$D$7+F9*'Element Constants'!$D$8+G9*'Element Constants'!$D$9)/(B9*'Element Constants'!$D$4/'Element Constants'!$E$4+C9*'Element Constants'!$D$5/'Element Constants'!$E$5+D9*'Element Constants'!$D$6/'Element Constants'!$E$6+E9*'Element Constants'!$D$7/'Element Constants'!$E$7+F9*'Element Constants'!$D$8/'Element Constants'!$E$8+G9*'Element Constants'!$D$9/'Element Constants'!$E$9)</x:f>
        <x:v>7.357551775489426</x:v>
      </x:c>
      <x:c r="L9" s="48" t="n">
        <x:v>296.5</x:v>
      </x:c>
      <x:c r="M9" s="48" t="n">
        <x:v>304</x:v>
      </x:c>
      <x:c r="N9" s="48" t="n">
        <x:f>M9/K9</x:f>
        <x:v>41.31809184309516</x:v>
      </x:c>
      <x:c r="O9" s="48" t="n">
        <x:f>(B9*'Element Constants'!$D$4*'Element Constants'!$F$4+C9*'Element Constants'!$D$5*'Element Constants'!$F$5+D9*'Element Constants'!$D$6*'Element Constants'!$F$6+E9*'Element Constants'!$D$7*'Element Constants'!$F$7+F9*'Element Constants'!$D$8*'Element Constants'!$F$8+G9*'Element Constants'!$D$9*'Element Constants'!$F$9)/(B9*'Element Constants'!$D$4+C9*'Element Constants'!$D$5+D9*'Element Constants'!$D$6+E9*'Element Constants'!$D$7+F9*'Element Constants'!$D$8+G9*'Element Constants'!$D$9)</x:f>
        <x:v>3.035132881665109</x:v>
      </x:c>
      <x:c r="P9" s="48" t="n">
        <x:f>O9/MIN($O$4:$O$18)</x:f>
        <x:v>1</x:v>
      </x:c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0" t="str">
        <x:v>G</x:v>
      </x:c>
      <x:c r="B10" s="48" t="n">
        <x:v>18.2</x:v>
      </x:c>
      <x:c r="C10" s="48" t="n">
        <x:v>27.3</x:v>
      </x:c>
      <x:c r="D10" s="48" t="n">
        <x:v>0</x:v>
      </x:c>
      <x:c r="E10" s="48" t="n">
        <x:v>18.2</x:v>
      </x:c>
      <x:c r="F10" s="48" t="n">
        <x:v>18.2</x:v>
      </x:c>
      <x:c r="G10" s="48" t="n">
        <x:v>18.2</x:v>
      </x:c>
      <x:c r="H10" s="48" t="n">
        <x:f>(B10*'Element Constants'!$C$4+C10*'Element Constants'!$C$5+D10*'Element Constants'!$C$6+E10*'Element Constants'!$C$7+F10*'Element Constants'!$C$8+G10*'Element Constants'!$C$9)/(SUM(B10:G10))</x:f>
        <x:v>128.8181818181818</x:v>
      </x:c>
      <x:c r="I10" s="48" t="n">
        <x:f>(B10*'Element Constants'!$B$4+C10*'Element Constants'!$B$5+D10*'Element Constants'!$B$6+E10*'Element Constants'!$B$7+F10*'Element Constants'!$B$8+G10*'Element Constants'!$B$9)/(SUM(B10:G10))</x:f>
        <x:v>8.272727272727272</x:v>
      </x:c>
      <x:c r="J10" s="48" t="n">
        <x:f>100*SQRT((B10/(SUM(B10:G10)))*(1-'Element Constants'!$C$4/H10)^2+(C10/(SUM(B10:G10)))*(1-'Element Constants'!$C$5/H10)^2+(D10/(SUM(B10:G10)))*(1-'Element Constants'!$C$6/H10)^2+(E10/(SUM(B10:G10)))*(1-'Element Constants'!$C$7/H10)^2+(F10/(SUM(B10:G10)))*(1-'Element Constants'!$C$8/H10)^2+(G10/(SUM(B10:G10)))*(1-'Element Constants'!$C$9/H10)^2)</x:f>
        <x:v>5.283925630863763</x:v>
      </x:c>
      <x:c r="K10" s="48" t="n">
        <x:f>(B10*'Element Constants'!$D$4+C10*'Element Constants'!$D$5+D10*'Element Constants'!$D$6+E10*'Element Constants'!$D$7+F10*'Element Constants'!$D$8+G10*'Element Constants'!$D$9)/(B10*'Element Constants'!$D$4/'Element Constants'!$E$4+C10*'Element Constants'!$D$5/'Element Constants'!$E$5+D10*'Element Constants'!$D$6/'Element Constants'!$E$6+E10*'Element Constants'!$D$7/'Element Constants'!$E$7+F10*'Element Constants'!$D$8/'Element Constants'!$E$8+G10*'Element Constants'!$D$9/'Element Constants'!$E$9)</x:f>
        <x:v>7.2106245559471045</x:v>
      </x:c>
      <x:c r="L10" s="48" t="n">
        <x:v>346.17</x:v>
      </x:c>
      <x:c r="M10" s="48" t="n">
        <x:v>366</x:v>
      </x:c>
      <x:c r="N10" s="48" t="n">
        <x:f>M10/K10</x:f>
        <x:v>50.75843252692089</x:v>
      </x:c>
      <x:c r="O10" s="48" t="n">
        <x:f>(B10*'Element Constants'!$D$4*'Element Constants'!$F$4+C10*'Element Constants'!$D$5*'Element Constants'!$F$5+D10*'Element Constants'!$D$6*'Element Constants'!$F$6+E10*'Element Constants'!$D$7*'Element Constants'!$F$7+F10*'Element Constants'!$D$8*'Element Constants'!$F$8+G10*'Element Constants'!$D$9*'Element Constants'!$F$9)/(B10*'Element Constants'!$D$4+C10*'Element Constants'!$D$5+D10*'Element Constants'!$D$6+E10*'Element Constants'!$D$7+F10*'Element Constants'!$D$8+G10*'Element Constants'!$D$9)</x:f>
        <x:v>11.637152144185846</x:v>
      </x:c>
      <x:c r="P10" s="48" t="n">
        <x:f>O10/MIN($O$4:$O$18)</x:f>
        <x:v>3.8341491453255814</x:v>
      </x:c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0" t="str">
        <x:v>H</x:v>
      </x:c>
      <x:c r="B11" s="48" t="n">
        <x:v>20</x:v>
      </x:c>
      <x:c r="C11" s="48" t="n">
        <x:v>26.7</x:v>
      </x:c>
      <x:c r="D11" s="48" t="n">
        <x:v>0</x:v>
      </x:c>
      <x:c r="E11" s="48" t="n">
        <x:v>0</x:v>
      </x:c>
      <x:c r="F11" s="48" t="n">
        <x:v>26.7</x:v>
      </x:c>
      <x:c r="G11" s="48" t="n">
        <x:v>26.7</x:v>
      </x:c>
      <x:c r="H11" s="48" t="n">
        <x:f>(B11*'Element Constants'!$C$4+C11*'Element Constants'!$C$5+D11*'Element Constants'!$C$6+E11*'Element Constants'!$C$7+F11*'Element Constants'!$C$8+G11*'Element Constants'!$C$9)/(SUM(B11:G11))</x:f>
        <x:v>128.59640359640358</x:v>
      </x:c>
      <x:c r="I11" s="48" t="n">
        <x:f>(B11*'Element Constants'!$B$4+C11*'Element Constants'!$B$5+D11*'Element Constants'!$B$6+E11*'Element Constants'!$B$7+F11*'Element Constants'!$B$8+G11*'Element Constants'!$B$9)/(SUM(B11:G11))</x:f>
        <x:v>7.8011988011988</x:v>
      </x:c>
      <x:c r="J11" s="48" t="n">
        <x:f>100*SQRT((B11/(SUM(B11:G11)))*(1-'Element Constants'!$C$4/H11)^2+(C11/(SUM(B11:G11)))*(1-'Element Constants'!$C$5/H11)^2+(D11/(SUM(B11:G11)))*(1-'Element Constants'!$C$6/H11)^2+(E11/(SUM(B11:G11)))*(1-'Element Constants'!$C$7/H11)^2+(F11/(SUM(B11:G11)))*(1-'Element Constants'!$C$8/H11)^2+(G11/(SUM(B11:G11)))*(1-'Element Constants'!$C$9/H11)^2)</x:f>
        <x:v>5.625558991101926</x:v>
      </x:c>
      <x:c r="K11" s="48" t="n">
        <x:f>(B11*'Element Constants'!$D$4+C11*'Element Constants'!$D$5+D11*'Element Constants'!$D$6+E11*'Element Constants'!$D$7+F11*'Element Constants'!$D$8+G11*'Element Constants'!$D$9)/(B11*'Element Constants'!$D$4/'Element Constants'!$E$4+C11*'Element Constants'!$D$5/'Element Constants'!$E$5+D11*'Element Constants'!$D$6/'Element Constants'!$E$6+E11*'Element Constants'!$D$7/'Element Constants'!$E$7+F11*'Element Constants'!$D$8/'Element Constants'!$E$8+G11*'Element Constants'!$D$9/'Element Constants'!$E$9)</x:f>
        <x:v>6.969907641485769</x:v>
      </x:c>
      <x:c r="L11" s="48" t="n">
        <x:v>469.63</x:v>
      </x:c>
      <x:c r="M11" s="48" t="n">
        <x:v>380</x:v>
      </x:c>
      <x:c r="N11" s="48" t="n">
        <x:f>M11/K11</x:f>
        <x:v>54.52009116135085</x:v>
      </x:c>
      <x:c r="O11" s="48" t="n">
        <x:f>(B11*'Element Constants'!$D$4*'Element Constants'!$F$4+C11*'Element Constants'!$D$5*'Element Constants'!$F$5+D11*'Element Constants'!$D$6*'Element Constants'!$F$6+E11*'Element Constants'!$D$7*'Element Constants'!$F$7+F11*'Element Constants'!$D$8*'Element Constants'!$F$8+G11*'Element Constants'!$D$9*'Element Constants'!$F$9)/(B11*'Element Constants'!$D$4+C11*'Element Constants'!$D$5+D11*'Element Constants'!$D$6+E11*'Element Constants'!$D$7+F11*'Element Constants'!$D$8+G11*'Element Constants'!$D$9)</x:f>
        <x:v>11.13436243529633</x:v>
      </x:c>
      <x:c r="P11" s="48" t="n">
        <x:f>O11/MIN($O$4:$O$18)</x:f>
        <x:v>3.6684925732766898</x:v>
      </x:c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0" t="str">
        <x:v>I</x:v>
      </x:c>
      <x:c r="B12" s="48" t="n">
        <x:v>10</x:v>
      </x:c>
      <x:c r="C12" s="48" t="n">
        <x:v>0</x:v>
      </x:c>
      <x:c r="D12" s="48" t="n">
        <x:v>35</x:v>
      </x:c>
      <x:c r="E12" s="48" t="n">
        <x:v>24</x:v>
      </x:c>
      <x:c r="F12" s="48" t="n">
        <x:v>5</x:v>
      </x:c>
      <x:c r="G12" s="48" t="n">
        <x:v>26</x:v>
      </x:c>
      <x:c r="H12" s="48" t="n">
        <x:f>(B12*'Element Constants'!$C$4+C12*'Element Constants'!$C$5+D12*'Element Constants'!$C$6+E12*'Element Constants'!$C$7+F12*'Element Constants'!$C$8+G12*'Element Constants'!$C$9)/(SUM(B12:G12))</x:f>
        <x:v>128.36</x:v>
      </x:c>
      <x:c r="I12" s="48" t="n">
        <x:f>(B12*'Element Constants'!$B$4+C12*'Element Constants'!$B$5+D12*'Element Constants'!$B$6+E12*'Element Constants'!$B$7+F12*'Element Constants'!$B$8+G12*'Element Constants'!$B$9)/(SUM(B12:G12))</x:f>
        <x:v>8.04</x:v>
      </x:c>
      <x:c r="J12" s="48" t="n">
        <x:f>100*SQRT((B12/(SUM(B12:G12)))*(1-'Element Constants'!$C$4/H12)^2+(C12/(SUM(B12:G12)))*(1-'Element Constants'!$C$5/H12)^2+(D12/(SUM(B12:G12)))*(1-'Element Constants'!$C$6/H12)^2+(E12/(SUM(B12:G12)))*(1-'Element Constants'!$C$7/H12)^2+(F12/(SUM(B12:G12)))*(1-'Element Constants'!$C$8/H12)^2+(G12/(SUM(B12:G12)))*(1-'Element Constants'!$C$9/H12)^2)</x:f>
        <x:v>4.027847511423382</x:v>
      </x:c>
      <x:c r="K12" s="48" t="n">
        <x:f>(B12*'Element Constants'!$D$4+C12*'Element Constants'!$D$5+D12*'Element Constants'!$D$6+E12*'Element Constants'!$D$7+F12*'Element Constants'!$D$8+G12*'Element Constants'!$D$9)/(B12*'Element Constants'!$D$4/'Element Constants'!$E$4+C12*'Element Constants'!$D$5/'Element Constants'!$E$5+D12*'Element Constants'!$D$6/'Element Constants'!$E$6+E12*'Element Constants'!$D$7/'Element Constants'!$E$7+F12*'Element Constants'!$D$8/'Element Constants'!$E$8+G12*'Element Constants'!$D$9/'Element Constants'!$E$9)</x:f>
        <x:v>7.424443624842022</x:v>
      </x:c>
      <x:c r="L12" s="48" t="n">
        <x:v>470.0733333333333</x:v>
      </x:c>
      <x:c r="M12" s="48" t="n">
        <x:v>441</x:v>
      </x:c>
      <x:c r="N12" s="48" t="n">
        <x:f>M12/K12</x:f>
        <x:v>59.39839027458218</x:v>
      </x:c>
      <x:c r="O12" s="48" t="n">
        <x:f>(B12*'Element Constants'!$D$4*'Element Constants'!$F$4+C12*'Element Constants'!$D$5*'Element Constants'!$F$5+D12*'Element Constants'!$D$6*'Element Constants'!$F$6+E12*'Element Constants'!$D$7*'Element Constants'!$F$7+F12*'Element Constants'!$D$8*'Element Constants'!$F$8+G12*'Element Constants'!$D$9*'Element Constants'!$F$9)/(B12*'Element Constants'!$D$4+C12*'Element Constants'!$D$5+D12*'Element Constants'!$D$6+E12*'Element Constants'!$D$7+F12*'Element Constants'!$D$8+G12*'Element Constants'!$D$9)</x:f>
        <x:v>6.057087140326876</x:v>
      </x:c>
      <x:c r="P12" s="48" t="n">
        <x:f>O12/MIN($O$4:$O$18)</x:f>
        <x:v>1.9956579749496464</x:v>
      </x:c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0" t="str">
        <x:v>J</x:v>
      </x:c>
      <x:c r="B13" s="48" t="n">
        <x:v>20.6</x:v>
      </x:c>
      <x:c r="C13" s="48" t="n">
        <x:v>15.9</x:v>
      </x:c>
      <x:c r="D13" s="48" t="n">
        <x:v>15.9</x:v>
      </x:c>
      <x:c r="E13" s="48" t="n">
        <x:v>15.9</x:v>
      </x:c>
      <x:c r="F13" s="48" t="n">
        <x:v>15.9</x:v>
      </x:c>
      <x:c r="G13" s="48" t="n">
        <x:v>15.9</x:v>
      </x:c>
      <x:c r="H13" s="48" t="n">
        <x:f>(B13*'Element Constants'!$C$4+C13*'Element Constants'!$C$5+D13*'Element Constants'!$C$6+E13*'Element Constants'!$C$7+F13*'Element Constants'!$C$8+G13*'Element Constants'!$C$9)/(SUM(B13:G13))</x:f>
        <x:v>129.65734265734267</x:v>
      </x:c>
      <x:c r="I13" s="48" t="n">
        <x:f>(B13*'Element Constants'!$B$4+C13*'Element Constants'!$B$5+D13*'Element Constants'!$B$6+E13*'Element Constants'!$B$7+F13*'Element Constants'!$B$8+G13*'Element Constants'!$B$9)/(SUM(B13:G13))</x:f>
        <x:v>7.606393606393607</x:v>
      </x:c>
      <x:c r="J13" s="48" t="n">
        <x:f>100*SQRT((B13/(SUM(B13:G13)))*(1-'Element Constants'!$C$4/H13)^2+(C13/(SUM(B13:G13)))*(1-'Element Constants'!$C$5/H13)^2+(D13/(SUM(B13:G13)))*(1-'Element Constants'!$C$6/H13)^2+(E13/(SUM(B13:G13)))*(1-'Element Constants'!$C$7/H13)^2+(F13/(SUM(B13:G13)))*(1-'Element Constants'!$C$8/H13)^2+(G13/(SUM(B13:G13)))*(1-'Element Constants'!$C$9/H13)^2)</x:f>
        <x:v>5.352553600459017</x:v>
      </x:c>
      <x:c r="K13" s="48" t="n">
        <x:f>(B13*'Element Constants'!$D$4+C13*'Element Constants'!$D$5+D13*'Element Constants'!$D$6+E13*'Element Constants'!$D$7+F13*'Element Constants'!$D$8+G13*'Element Constants'!$D$9)/(B13*'Element Constants'!$D$4/'Element Constants'!$E$4+C13*'Element Constants'!$D$5/'Element Constants'!$E$5+D13*'Element Constants'!$D$6/'Element Constants'!$E$6+E13*'Element Constants'!$D$7/'Element Constants'!$E$7+F13*'Element Constants'!$D$8/'Element Constants'!$E$8+G13*'Element Constants'!$D$9/'Element Constants'!$E$9)</x:f>
        <x:v>6.809846228229268</x:v>
      </x:c>
      <x:c r="L13" s="48" t="n">
        <x:v>502.37666666666667</x:v>
      </x:c>
      <x:c r="M13" s="48" t="n">
        <x:v>475</x:v>
      </x:c>
      <x:c r="N13" s="48" t="n">
        <x:f>M13/K13</x:f>
        <x:v>69.75194212623389</x:v>
      </x:c>
      <x:c r="O13" s="48" t="n">
        <x:f>(B13*'Element Constants'!$D$4*'Element Constants'!$F$4+C13*'Element Constants'!$D$5*'Element Constants'!$F$5+D13*'Element Constants'!$D$6*'Element Constants'!$F$6+E13*'Element Constants'!$D$7*'Element Constants'!$F$7+F13*'Element Constants'!$D$8*'Element Constants'!$F$8+G13*'Element Constants'!$D$9*'Element Constants'!$F$9)/(B13*'Element Constants'!$D$4+C13*'Element Constants'!$D$5+D13*'Element Constants'!$D$6+E13*'Element Constants'!$D$7+F13*'Element Constants'!$D$8+G13*'Element Constants'!$D$9)</x:f>
        <x:v>8.718011077721869</x:v>
      </x:c>
      <x:c r="P13" s="48" t="n">
        <x:f>O13/MIN($O$4:$O$18)</x:f>
        <x:v>2.872365533115989</x:v>
      </x:c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0" t="str">
        <x:v>K</x:v>
      </x:c>
      <x:c r="B14" s="48" t="n">
        <x:v>20</x:v>
      </x:c>
      <x:c r="C14" s="48" t="n">
        <x:v>20</x:v>
      </x:c>
      <x:c r="D14" s="48" t="n">
        <x:v>20</x:v>
      </x:c>
      <x:c r="E14" s="48" t="n">
        <x:v>0</x:v>
      </x:c>
      <x:c r="F14" s="48" t="n">
        <x:v>20</x:v>
      </x:c>
      <x:c r="G14" s="48" t="n">
        <x:v>20</x:v>
      </x:c>
      <x:c r="H14" s="48" t="n">
        <x:f>(B14*'Element Constants'!$C$4+C14*'Element Constants'!$C$5+D14*'Element Constants'!$C$6+E14*'Element Constants'!$C$7+F14*'Element Constants'!$C$8+G14*'Element Constants'!$C$9)/(SUM(B14:G14))</x:f>
        <x:v>129.2</x:v>
      </x:c>
      <x:c r="I14" s="48" t="n">
        <x:f>(B14*'Element Constants'!$B$4+C14*'Element Constants'!$B$5+D14*'Element Constants'!$B$6+E14*'Element Constants'!$B$7+F14*'Element Constants'!$B$8+G14*'Element Constants'!$B$9)/(SUM(B14:G14))</x:f>
        <x:v>7.2</x:v>
      </x:c>
      <x:c r="J14" s="48" t="n">
        <x:f>100*SQRT((B14/(SUM(B14:G14)))*(1-'Element Constants'!$C$4/H14)^2+(C14/(SUM(B14:G14)))*(1-'Element Constants'!$C$5/H14)^2+(D14/(SUM(B14:G14)))*(1-'Element Constants'!$C$6/H14)^2+(E14/(SUM(B14:G14)))*(1-'Element Constants'!$C$7/H14)^2+(F14/(SUM(B14:G14)))*(1-'Element Constants'!$C$8/H14)^2+(G14/(SUM(B14:G14)))*(1-'Element Constants'!$C$9/H14)^2)</x:f>
        <x:v>5.437822931966037</x:v>
      </x:c>
      <x:c r="K14" s="48" t="n">
        <x:f>(B14*'Element Constants'!$D$4+C14*'Element Constants'!$D$5+D14*'Element Constants'!$D$6+E14*'Element Constants'!$D$7+F14*'Element Constants'!$D$8+G14*'Element Constants'!$D$9)/(B14*'Element Constants'!$D$4/'Element Constants'!$E$4+C14*'Element Constants'!$D$5/'Element Constants'!$E$5+D14*'Element Constants'!$D$6/'Element Constants'!$E$6+E14*'Element Constants'!$D$7/'Element Constants'!$E$7+F14*'Element Constants'!$D$8/'Element Constants'!$E$8+G14*'Element Constants'!$D$9/'Element Constants'!$E$9)</x:f>
        <x:v>6.727000452000411</x:v>
      </x:c>
      <x:c r="L14" s="48" t="n">
        <x:v>535.14</x:v>
      </x:c>
      <x:c r="M14" s="48" t="n">
        <x:v>516</x:v>
      </x:c>
      <x:c r="N14" s="48" t="n">
        <x:f>M14/K14</x:f>
        <x:v>76.70580724378529</x:v>
      </x:c>
      <x:c r="O14" s="48" t="n">
        <x:f>(B14*'Element Constants'!$D$4*'Element Constants'!$F$4+C14*'Element Constants'!$D$5*'Element Constants'!$F$5+D14*'Element Constants'!$D$6*'Element Constants'!$F$6+E14*'Element Constants'!$D$7*'Element Constants'!$F$7+F14*'Element Constants'!$D$8*'Element Constants'!$F$8+G14*'Element Constants'!$D$9*'Element Constants'!$F$9)/(B14*'Element Constants'!$D$4+C14*'Element Constants'!$D$5+D14*'Element Constants'!$D$6+E14*'Element Constants'!$D$7+F14*'Element Constants'!$D$8+G14*'Element Constants'!$D$9)</x:f>
        <x:v>9.110990448771474</x:v>
      </x:c>
      <x:c r="P14" s="48" t="n">
        <x:f>O14/MIN($O$4:$O$18)</x:f>
        <x:v>3.001842358800805</x:v>
      </x:c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0" t="str">
        <x:v>L</x:v>
      </x:c>
      <x:c r="B15" s="48" t="n">
        <x:v>27.3</x:v>
      </x:c>
      <x:c r="C15" s="48" t="n">
        <x:v>0</x:v>
      </x:c>
      <x:c r="D15" s="48" t="n">
        <x:v>18.2</x:v>
      </x:c>
      <x:c r="E15" s="48" t="n">
        <x:v>18.2</x:v>
      </x:c>
      <x:c r="F15" s="48" t="n">
        <x:v>18.2</x:v>
      </x:c>
      <x:c r="G15" s="48" t="n">
        <x:v>18.2</x:v>
      </x:c>
      <x:c r="H15" s="48" t="n">
        <x:f>(B15*'Element Constants'!$C$4+C15*'Element Constants'!$C$5+D15*'Element Constants'!$C$6+E15*'Element Constants'!$C$7+F15*'Element Constants'!$C$8+G15*'Element Constants'!$C$9)/(SUM(B15:G15))</x:f>
        <x:v>130.99999999999997</x:v>
      </x:c>
      <x:c r="I15" s="48" t="n">
        <x:f>(B15*'Element Constants'!$B$4+C15*'Element Constants'!$B$5+D15*'Element Constants'!$B$6+E15*'Element Constants'!$B$7+F15*'Element Constants'!$B$8+G15*'Element Constants'!$B$9)/(SUM(B15:G15))</x:f>
        <x:v>7.181818181818181</x:v>
      </x:c>
      <x:c r="J15" s="48" t="n">
        <x:f>100*SQRT((B15/(SUM(B15:G15)))*(1-'Element Constants'!$C$4/H15)^2+(C15/(SUM(B15:G15)))*(1-'Element Constants'!$C$5/H15)^2+(D15/(SUM(B15:G15)))*(1-'Element Constants'!$C$6/H15)^2+(E15/(SUM(B15:G15)))*(1-'Element Constants'!$C$7/H15)^2+(F15/(SUM(B15:G15)))*(1-'Element Constants'!$C$8/H15)^2+(G15/(SUM(B15:G15)))*(1-'Element Constants'!$C$9/H15)^2)</x:f>
        <x:v>5.712454025609069</x:v>
      </x:c>
      <x:c r="K15" s="48" t="n">
        <x:f>(B15*'Element Constants'!$D$4+C15*'Element Constants'!$D$5+D15*'Element Constants'!$D$6+E15*'Element Constants'!$D$7+F15*'Element Constants'!$D$8+G15*'Element Constants'!$D$9)/(B15*'Element Constants'!$D$4/'Element Constants'!$E$4+C15*'Element Constants'!$D$5/'Element Constants'!$E$5+D15*'Element Constants'!$D$6/'Element Constants'!$E$6+E15*'Element Constants'!$D$7/'Element Constants'!$E$7+F15*'Element Constants'!$D$8/'Element Constants'!$E$8+G15*'Element Constants'!$D$9/'Element Constants'!$E$9)</x:f>
        <x:v>6.29268466049219</x:v>
      </x:c>
      <x:c r="L15" s="48" t="n">
        <x:v>543.2133333333334</x:v>
      </x:c>
      <x:c r="M15" s="48" t="n">
        <x:v>573</x:v>
      </x:c>
      <x:c r="N15" s="48" t="n">
        <x:f>M15/K15</x:f>
        <x:v>91.0581144479568</x:v>
      </x:c>
      <x:c r="O15" s="48" t="n">
        <x:f>(B15*'Element Constants'!$D$4*'Element Constants'!$F$4+C15*'Element Constants'!$D$5*'Element Constants'!$F$5+D15*'Element Constants'!$D$6*'Element Constants'!$F$6+E15*'Element Constants'!$D$7*'Element Constants'!$F$7+F15*'Element Constants'!$D$8*'Element Constants'!$F$8+G15*'Element Constants'!$D$9*'Element Constants'!$F$9)/(B15*'Element Constants'!$D$4+C15*'Element Constants'!$D$5+D15*'Element Constants'!$D$6+E15*'Element Constants'!$D$7+F15*'Element Constants'!$D$8+G15*'Element Constants'!$D$9)</x:f>
        <x:v>5.034440603542193</x:v>
      </x:c>
      <x:c r="P15" s="48" t="n">
        <x:f>O15/MIN($O$4:$O$18)</x:f>
        <x:v>1.6587216441015395</x:v>
      </x:c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0" t="str">
        <x:v>M</x:v>
      </x:c>
      <x:c r="B16" s="48" t="n">
        <x:v>23.8</x:v>
      </x:c>
      <x:c r="C16" s="48" t="n">
        <x:v>23.8</x:v>
      </x:c>
      <x:c r="D16" s="48" t="n">
        <x:v>23.8</x:v>
      </x:c>
      <x:c r="E16" s="48" t="n">
        <x:v>0</x:v>
      </x:c>
      <x:c r="F16" s="48" t="n">
        <x:v>5</x:v>
      </x:c>
      <x:c r="G16" s="48" t="n">
        <x:v>23.8</x:v>
      </x:c>
      <x:c r="H16" s="48" t="n">
        <x:f>(B16*'Element Constants'!$C$4+C16*'Element Constants'!$C$5+D16*'Element Constants'!$C$6+E16*'Element Constants'!$C$7+F16*'Element Constants'!$C$8+G16*'Element Constants'!$C$9)/(SUM(B16:G16))</x:f>
        <x:v>129.8003992015968</x:v>
      </x:c>
      <x:c r="I16" s="48" t="n">
        <x:f>(B16*'Element Constants'!$B$4+C16*'Element Constants'!$B$5+D16*'Element Constants'!$B$6+E16*'Element Constants'!$B$7+F16*'Element Constants'!$B$8+G16*'Element Constants'!$B$9)/(SUM(B16:G16))</x:f>
        <x:v>7.049900199600799</x:v>
      </x:c>
      <x:c r="J16" s="48" t="n">
        <x:f>100*SQRT((B16/(SUM(B16:G16)))*(1-'Element Constants'!$C$4/H16)^2+(C16/(SUM(B16:G16)))*(1-'Element Constants'!$C$5/H16)^2+(D16/(SUM(B16:G16)))*(1-'Element Constants'!$C$6/H16)^2+(E16/(SUM(B16:G16)))*(1-'Element Constants'!$C$7/H16)^2+(F16/(SUM(B16:G16)))*(1-'Element Constants'!$C$8/H16)^2+(G16/(SUM(B16:G16)))*(1-'Element Constants'!$C$9/H16)^2)</x:f>
        <x:v>5.7826923099649745</x:v>
      </x:c>
      <x:c r="K16" s="48" t="n">
        <x:f>(B16*'Element Constants'!$D$4+C16*'Element Constants'!$D$5+D16*'Element Constants'!$D$6+E16*'Element Constants'!$D$7+F16*'Element Constants'!$D$8+G16*'Element Constants'!$D$9)/(B16*'Element Constants'!$D$4/'Element Constants'!$E$4+C16*'Element Constants'!$D$5/'Element Constants'!$E$5+D16*'Element Constants'!$D$6/'Element Constants'!$E$6+E16*'Element Constants'!$D$7/'Element Constants'!$E$7+F16*'Element Constants'!$D$8/'Element Constants'!$E$8+G16*'Element Constants'!$D$9/'Element Constants'!$E$9)</x:f>
        <x:v>6.525722327105926</x:v>
      </x:c>
      <x:c r="L16" s="48" t="n">
        <x:v>614.14</x:v>
      </x:c>
      <x:c r="M16" s="48" t="n">
        <x:v>665</x:v>
      </x:c>
      <x:c r="N16" s="48" t="n">
        <x:f>M16/K16</x:f>
        <x:v>101.90442784207751</x:v>
      </x:c>
      <x:c r="O16" s="48" t="n">
        <x:f>(B16*'Element Constants'!$D$4*'Element Constants'!$F$4+C16*'Element Constants'!$D$5*'Element Constants'!$F$5+D16*'Element Constants'!$D$6*'Element Constants'!$F$6+E16*'Element Constants'!$D$7*'Element Constants'!$F$7+F16*'Element Constants'!$D$8*'Element Constants'!$F$8+G16*'Element Constants'!$D$9*'Element Constants'!$F$9)/(B16*'Element Constants'!$D$4+C16*'Element Constants'!$D$5+D16*'Element Constants'!$D$6+E16*'Element Constants'!$D$7+F16*'Element Constants'!$D$8+G16*'Element Constants'!$D$9)</x:f>
        <x:v>10.828400661732156</x:v>
      </x:c>
      <x:c r="P16" s="48" t="n">
        <x:f>O16/MIN($O$4:$O$18)</x:f>
        <x:v>3.567685858877971</x:v>
      </x:c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0" t="str">
        <x:v>N</x:v>
      </x:c>
      <x:c r="B17" s="48" t="n">
        <x:v>20</x:v>
      </x:c>
      <x:c r="C17" s="48" t="n">
        <x:v>26.7</x:v>
      </x:c>
      <x:c r="D17" s="48" t="n">
        <x:v>26.7</x:v>
      </x:c>
      <x:c r="E17" s="48" t="n">
        <x:v>0</x:v>
      </x:c>
      <x:c r="F17" s="48" t="n">
        <x:v>26.7</x:v>
      </x:c>
      <x:c r="G17" s="48" t="n">
        <x:v>0</x:v>
      </x:c>
      <x:c r="H17" s="48" t="n">
        <x:f>(B17*'Element Constants'!$C$4+C17*'Element Constants'!$C$5+D17*'Element Constants'!$C$6+E17*'Element Constants'!$C$7+F17*'Element Constants'!$C$8+G17*'Element Constants'!$C$9)/(SUM(B17:G17))</x:f>
        <x:v>129.66333666333665</x:v>
      </x:c>
      <x:c r="I17" s="48" t="n">
        <x:f>(B17*'Element Constants'!$B$4+C17*'Element Constants'!$B$5+D17*'Element Constants'!$B$6+E17*'Element Constants'!$B$7+F17*'Element Constants'!$B$8+G17*'Element Constants'!$B$9)/(SUM(B17:G17))</x:f>
        <x:v>6.734265734265732</x:v>
      </x:c>
      <x:c r="J17" s="48" t="n">
        <x:f>100*SQRT((B17/(SUM(B17:G17)))*(1-'Element Constants'!$C$4/H17)^2+(C17/(SUM(B17:G17)))*(1-'Element Constants'!$C$5/H17)^2+(D17/(SUM(B17:G17)))*(1-'Element Constants'!$C$6/H17)^2+(E17/(SUM(B17:G17)))*(1-'Element Constants'!$C$7/H17)^2+(F17/(SUM(B17:G17)))*(1-'Element Constants'!$C$8/H17)^2+(G17/(SUM(B17:G17)))*(1-'Element Constants'!$C$9/H17)^2)</x:f>
        <x:v>5.211121589479014</x:v>
      </x:c>
      <x:c r="K17" s="48" t="n">
        <x:f>(B17*'Element Constants'!$D$4+C17*'Element Constants'!$D$5+D17*'Element Constants'!$D$6+E17*'Element Constants'!$D$7+F17*'Element Constants'!$D$8+G17*'Element Constants'!$D$9)/(B17*'Element Constants'!$D$4/'Element Constants'!$E$4+C17*'Element Constants'!$D$5/'Element Constants'!$E$5+D17*'Element Constants'!$D$6/'Element Constants'!$E$6+E17*'Element Constants'!$D$7/'Element Constants'!$E$7+F17*'Element Constants'!$D$8/'Element Constants'!$E$8+G17*'Element Constants'!$D$9/'Element Constants'!$E$9)</x:f>
        <x:v>6.576744141217828</x:v>
      </x:c>
      <x:c r="L17" s="48" t="n">
        <x:v>645.5666666666667</x:v>
      </x:c>
      <x:c r="M17" s="48" t="n">
        <x:v>695</x:v>
      </x:c>
      <x:c r="N17" s="48" t="n">
        <x:f>M17/K17</x:f>
        <x:v>105.67538968777725</x:v>
      </x:c>
      <x:c r="O17" s="48" t="n">
        <x:f>(B17*'Element Constants'!$D$4*'Element Constants'!$F$4+C17*'Element Constants'!$D$5*'Element Constants'!$F$5+D17*'Element Constants'!$D$6*'Element Constants'!$F$6+E17*'Element Constants'!$D$7*'Element Constants'!$F$7+F17*'Element Constants'!$D$8*'Element Constants'!$F$8+G17*'Element Constants'!$D$9*'Element Constants'!$F$9)/(B17*'Element Constants'!$D$4+C17*'Element Constants'!$D$5+D17*'Element Constants'!$D$6+E17*'Element Constants'!$D$7+F17*'Element Constants'!$D$8+G17*'Element Constants'!$D$9)</x:f>
        <x:v>9.089421641322694</x:v>
      </x:c>
      <x:c r="P17" s="48" t="n">
        <x:f>O17/MIN($O$4:$O$18)</x:f>
        <x:v>2.9947359788531345</x:v>
      </x:c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0" t="str">
        <x:v>O</x:v>
      </x:c>
      <x:c r="B18" s="48" t="n">
        <x:v>37.5</x:v>
      </x:c>
      <x:c r="C18" s="48" t="n">
        <x:v>12.5</x:v>
      </x:c>
      <x:c r="D18" s="48" t="n">
        <x:v>12.5</x:v>
      </x:c>
      <x:c r="E18" s="48" t="n">
        <x:v>12.5</x:v>
      </x:c>
      <x:c r="F18" s="48" t="n">
        <x:v>12.5</x:v>
      </x:c>
      <x:c r="G18" s="48" t="n">
        <x:v>12.5</x:v>
      </x:c>
      <x:c r="H18" s="48" t="n">
        <x:f>(B18*'Element Constants'!$C$4+C18*'Element Constants'!$C$5+D18*'Element Constants'!$C$6+E18*'Element Constants'!$C$7+F18*'Element Constants'!$C$8+G18*'Element Constants'!$C$9)/(SUM(B18:G18))</x:f>
        <x:v>132.5</x:v>
      </x:c>
      <x:c r="I18" s="48" t="n">
        <x:f>(B18*'Element Constants'!$B$4+C18*'Element Constants'!$B$5+D18*'Element Constants'!$B$6+E18*'Element Constants'!$B$7+F18*'Element Constants'!$B$8+G18*'Element Constants'!$B$9)/(SUM(B18:G18))</x:f>
        <x:v>6.625</x:v>
      </x:c>
      <x:c r="J18" s="48" t="n">
        <x:f>100*SQRT((B18/(SUM(B18:G18)))*(1-'Element Constants'!$C$4/H18)^2+(C18/(SUM(B18:G18)))*(1-'Element Constants'!$C$5/H18)^2+(D18/(SUM(B18:G18)))*(1-'Element Constants'!$C$6/H18)^2+(E18/(SUM(B18:G18)))*(1-'Element Constants'!$C$7/H18)^2+(F18/(SUM(B18:G18)))*(1-'Element Constants'!$C$8/H18)^2+(G18/(SUM(B18:G18)))*(1-'Element Constants'!$C$9/H18)^2)</x:f>
        <x:v>6.2121047672280465</x:v>
      </x:c>
      <x:c r="K18" s="48" t="n">
        <x:f>(B18*'Element Constants'!$D$4+C18*'Element Constants'!$D$5+D18*'Element Constants'!$D$6+E18*'Element Constants'!$D$7+F18*'Element Constants'!$D$8+G18*'Element Constants'!$D$9)/(B18*'Element Constants'!$D$4/'Element Constants'!$E$4+C18*'Element Constants'!$D$5/'Element Constants'!$E$5+D18*'Element Constants'!$D$6/'Element Constants'!$E$6+E18*'Element Constants'!$D$7/'Element Constants'!$E$7+F18*'Element Constants'!$D$8/'Element Constants'!$E$8+G18*'Element Constants'!$D$9/'Element Constants'!$E$9)</x:f>
        <x:v>5.726354420939877</x:v>
      </x:c>
      <x:c r="L18" s="48" t="n">
        <x:v>676.9166666666666</x:v>
      </x:c>
      <x:c r="M18" s="48" t="n">
        <x:v>735</x:v>
      </x:c>
      <x:c r="N18" s="48" t="n">
        <x:f>M18/K18</x:f>
        <x:v>128.35391349726535</x:v>
      </x:c>
      <x:c r="O18" s="48" t="n">
        <x:f>(B18*'Element Constants'!$D$4*'Element Constants'!$F$4+C18*'Element Constants'!$D$5*'Element Constants'!$F$5+D18*'Element Constants'!$D$6*'Element Constants'!$F$6+E18*'Element Constants'!$D$7*'Element Constants'!$F$7+F18*'Element Constants'!$D$8*'Element Constants'!$F$8+G18*'Element Constants'!$D$9*'Element Constants'!$F$9)/(B18*'Element Constants'!$D$4+C18*'Element Constants'!$D$5+D18*'Element Constants'!$D$6+E18*'Element Constants'!$D$7+F18*'Element Constants'!$D$8+G18*'Element Constants'!$D$9)</x:f>
        <x:v>7.882934477462587</x:v>
      </x:c>
      <x:c r="P18" s="48" t="n">
        <x:f>O18/MIN($O$4:$O$18)</x:f>
        <x:v>2.597228782002427</x:v>
      </x:c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34" hidden="0" customWidth="1"/>
  </x:cols>
  <x:sheetData>
    <x:row r="1">
      <x:c r="A1" s="7" t="str">
        <x:v>Stage 2 — ML-assisted screening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15" t="str">
        <x:v>The model now predicts hardness from composition. Screen candidates against 450 HV, then compare density, specific hardness and the relative raw-material cost index. Treat the model as evidence, not truth.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4" t="str">
        <x:v>Candidate</x:v>
      </x:c>
      <x:c r="B6" s="24" t="str">
        <x:v>Al</x:v>
      </x:c>
      <x:c r="C6" s="24" t="str">
        <x:v>Co</x:v>
      </x:c>
      <x:c r="D6" s="24" t="str">
        <x:v>Cr</x:v>
      </x:c>
      <x:c r="E6" s="24" t="str">
        <x:v>Cu</x:v>
      </x:c>
      <x:c r="F6" s="24" t="str">
        <x:v>Fe</x:v>
      </x:c>
      <x:c r="G6" s="24" t="str">
        <x:v>Ni</x:v>
      </x:c>
      <x:c r="H6" s="24" t="str">
        <x:v>r̄ (pm)</x:v>
      </x:c>
      <x:c r="I6" s="24" t="str">
        <x:v>VEC</x:v>
      </x:c>
      <x:c r="J6" s="24" t="str">
        <x:v>δ (%)</x:v>
      </x:c>
      <x:c r="K6" s="24" t="str">
        <x:v>Density (g/cm³)</x:v>
      </x:c>
      <x:c r="L6" s="24" t="str">
        <x:v>ML hardness (HV)</x:v>
      </x:c>
      <x:c r="M6" s="24" t="str">
        <x:v>ML pass ≥450?</x:v>
      </x:c>
      <x:c r="N6" s="24" t="str">
        <x:v>Specific ML hardness</x:v>
      </x:c>
      <x:c r="O6" s="24" t="str">
        <x:v>Raw cost score</x:v>
      </x:c>
      <x:c r="P6" s="24" t="str">
        <x:v>Relative cost index</x:v>
      </x:c>
      <x:c r="Q6" s="24" t="str">
        <x:v>Your ML-informed decision</x:v>
      </x:c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0" t="str">
        <x:v>A</x:v>
      </x:c>
      <x:c r="B7" s="48" t="n">
        <x:v>2.4</x:v>
      </x:c>
      <x:c r="C7" s="48" t="n">
        <x:v>24.4</x:v>
      </x:c>
      <x:c r="D7" s="48" t="n">
        <x:v>24.4</x:v>
      </x:c>
      <x:c r="E7" s="48" t="n">
        <x:v>0</x:v>
      </x:c>
      <x:c r="F7" s="48" t="n">
        <x:v>24.4</x:v>
      </x:c>
      <x:c r="G7" s="48" t="n">
        <x:v>24.4</x:v>
      </x:c>
      <x:c r="H7" s="48" t="n">
        <x:f>(B7*'Element Constants'!$C$4+C7*'Element Constants'!$C$5+D7*'Element Constants'!$C$6+E7*'Element Constants'!$C$7+F7*'Element Constants'!$C$8+G7*'Element Constants'!$C$9)/(SUM(B7:G7))</x:f>
        <x:v>126.164</x:v>
      </x:c>
      <x:c r="I7" s="48" t="n">
        <x:f>(B7*'Element Constants'!$B$4+C7*'Element Constants'!$B$5+D7*'Element Constants'!$B$6+E7*'Element Constants'!$B$7+F7*'Element Constants'!$B$8+G7*'Element Constants'!$B$9)/(SUM(B7:G7))</x:f>
        <x:v>8.123999999999999</x:v>
      </x:c>
      <x:c r="J7" s="48" t="n">
        <x:f>100*SQRT((B7/(SUM(B7:G7)))*(1-'Element Constants'!$C$4/H7)^2+(C7/(SUM(B7:G7)))*(1-'Element Constants'!$C$5/H7)^2+(D7/(SUM(B7:G7)))*(1-'Element Constants'!$C$6/H7)^2+(E7/(SUM(B7:G7)))*(1-'Element Constants'!$C$7/H7)^2+(F7/(SUM(B7:G7)))*(1-'Element Constants'!$C$8/H7)^2+(G7/(SUM(B7:G7)))*(1-'Element Constants'!$C$9/H7)^2)</x:f>
        <x:v>2.3917016636854744</x:v>
      </x:c>
      <x:c r="K7" s="48" t="n">
        <x:f>(B7*'Element Constants'!$D$4+C7*'Element Constants'!$D$5+D7*'Element Constants'!$D$6+E7*'Element Constants'!$D$7+F7*'Element Constants'!$D$8+G7*'Element Constants'!$D$9)/(B7*'Element Constants'!$D$4/'Element Constants'!$E$4+C7*'Element Constants'!$D$5/'Element Constants'!$E$5+D7*'Element Constants'!$D$6/'Element Constants'!$E$6+E7*'Element Constants'!$D$7/'Element Constants'!$E$7+F7*'Element Constants'!$D$8/'Element Constants'!$E$8+G7*'Element Constants'!$D$9/'Element Constants'!$E$9)</x:f>
        <x:v>7.9993453827699685</x:v>
      </x:c>
      <x:c r="L7" s="48" t="n">
        <x:v>143.79</x:v>
      </x:c>
      <x:c r="M7" s="48" t="b">
        <x:f>L7&gt;=450</x:f>
        <x:v>0</x:v>
      </x:c>
      <x:c r="N7" s="48" t="n">
        <x:f>L7/K7</x:f>
        <x:v>17.975220861161166</x:v>
      </x:c>
      <x:c r="O7" s="48" t="n">
        <x:f>(B7*'Element Constants'!$D$4*'Element Constants'!$F$4+C7*'Element Constants'!$D$5*'Element Constants'!$F$5+D7*'Element Constants'!$D$6*'Element Constants'!$F$6+E7*'Element Constants'!$D$7*'Element Constants'!$F$7+F7*'Element Constants'!$D$8*'Element Constants'!$F$8+G7*'Element Constants'!$D$9*'Element Constants'!$F$9)/(B7*'Element Constants'!$D$4+C7*'Element Constants'!$D$5+D7*'Element Constants'!$D$6+E7*'Element Constants'!$D$7+F7*'Element Constants'!$D$8+G7*'Element Constants'!$D$9)</x:f>
        <x:v>9.86932806053475</x:v>
      </x:c>
      <x:c r="P7" s="48" t="n">
        <x:f>O7/MIN($O$7:$O$21)</x:f>
        <x:v>3.251695541949492</x:v>
      </x:c>
      <x:c r="Q7" s="30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0" t="str">
        <x:v>B</x:v>
      </x:c>
      <x:c r="B8" s="48" t="n">
        <x:v>0</x:v>
      </x:c>
      <x:c r="C8" s="48" t="n">
        <x:v>5</x:v>
      </x:c>
      <x:c r="D8" s="48" t="n">
        <x:v>23.8</x:v>
      </x:c>
      <x:c r="E8" s="48" t="n">
        <x:v>23.8</x:v>
      </x:c>
      <x:c r="F8" s="48" t="n">
        <x:v>23.8</x:v>
      </x:c>
      <x:c r="G8" s="48" t="n">
        <x:v>23.8</x:v>
      </x:c>
      <x:c r="H8" s="48" t="n">
        <x:f>(B8*'Element Constants'!$C$4+C8*'Element Constants'!$C$5+D8*'Element Constants'!$C$6+E8*'Element Constants'!$C$7+F8*'Element Constants'!$C$8+G8*'Element Constants'!$C$9)/(SUM(B8:G8))</x:f>
        <x:v>126.42514970059881</x:v>
      </x:c>
      <x:c r="I8" s="48" t="n">
        <x:f>(B8*'Element Constants'!$B$4+C8*'Element Constants'!$B$5+D8*'Element Constants'!$B$6+E8*'Element Constants'!$B$7+F8*'Element Constants'!$B$8+G8*'Element Constants'!$B$9)/(SUM(B8:G8))</x:f>
        <x:v>8.7624750499002</x:v>
      </x:c>
      <x:c r="J8" s="48" t="n">
        <x:f>100*SQRT((B8/(SUM(B8:G8)))*(1-'Element Constants'!$C$4/H8)^2+(C8/(SUM(B8:G8)))*(1-'Element Constants'!$C$5/H8)^2+(D8/(SUM(B8:G8)))*(1-'Element Constants'!$C$6/H8)^2+(E8/(SUM(B8:G8)))*(1-'Element Constants'!$C$7/H8)^2+(F8/(SUM(B8:G8)))*(1-'Element Constants'!$C$8/H8)^2+(G8/(SUM(B8:G8)))*(1-'Element Constants'!$C$9/H8)^2)</x:f>
        <x:v>1.3043881647033837</x:v>
      </x:c>
      <x:c r="K8" s="48" t="n">
        <x:f>(B8*'Element Constants'!$D$4+C8*'Element Constants'!$D$5+D8*'Element Constants'!$D$6+E8*'Element Constants'!$D$7+F8*'Element Constants'!$D$8+G8*'Element Constants'!$D$9)/(B8*'Element Constants'!$D$4/'Element Constants'!$E$4+C8*'Element Constants'!$D$5/'Element Constants'!$E$5+D8*'Element Constants'!$D$6/'Element Constants'!$E$6+E8*'Element Constants'!$D$7/'Element Constants'!$E$7+F8*'Element Constants'!$D$8/'Element Constants'!$E$8+G8*'Element Constants'!$D$9/'Element Constants'!$E$9)</x:f>
        <x:v>8.248053890208652</x:v>
      </x:c>
      <x:c r="L8" s="48" t="n">
        <x:v>147.28333333333333</x:v>
      </x:c>
      <x:c r="M8" s="48" t="b">
        <x:f>L8&gt;=450</x:f>
        <x:v>0</x:v>
      </x:c>
      <x:c r="N8" s="48" t="n">
        <x:f>L8/K8</x:f>
        <x:v>17.856737515764156</x:v>
      </x:c>
      <x:c r="O8" s="48" t="n">
        <x:f>(B8*'Element Constants'!$D$4*'Element Constants'!$F$4+C8*'Element Constants'!$D$5*'Element Constants'!$F$5+D8*'Element Constants'!$D$6*'Element Constants'!$F$6+E8*'Element Constants'!$D$7*'Element Constants'!$F$7+F8*'Element Constants'!$D$8*'Element Constants'!$F$8+G8*'Element Constants'!$D$9*'Element Constants'!$F$9)/(B8*'Element Constants'!$D$4+C8*'Element Constants'!$D$5+D8*'Element Constants'!$D$6+E8*'Element Constants'!$D$7+F8*'Element Constants'!$D$8+G8*'Element Constants'!$D$9)</x:f>
        <x:v>6.560467766690913</x:v>
      </x:c>
      <x:c r="P8" s="48" t="n">
        <x:f>O8/MIN($O$7:$O$21)</x:f>
        <x:v>2.1615092394543742</x:v>
      </x:c>
      <x:c r="Q8" s="30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0" t="str">
        <x:v>C</x:v>
      </x:c>
      <x:c r="B9" s="48" t="n">
        <x:v>0</x:v>
      </x:c>
      <x:c r="C9" s="48" t="n">
        <x:v>20</x:v>
      </x:c>
      <x:c r="D9" s="48" t="n">
        <x:v>20</x:v>
      </x:c>
      <x:c r="E9" s="48" t="n">
        <x:v>20</x:v>
      </x:c>
      <x:c r="F9" s="48" t="n">
        <x:v>20</x:v>
      </x:c>
      <x:c r="G9" s="48" t="n">
        <x:v>20</x:v>
      </x:c>
      <x:c r="H9" s="48" t="n">
        <x:f>(B9*'Element Constants'!$C$4+C9*'Element Constants'!$C$5+D9*'Element Constants'!$C$6+E9*'Element Constants'!$C$7+F9*'Element Constants'!$C$8+G9*'Element Constants'!$C$9)/(SUM(B9:G9))</x:f>
        <x:v>126.2</x:v>
      </x:c>
      <x:c r="I9" s="48" t="n">
        <x:f>(B9*'Element Constants'!$B$4+C9*'Element Constants'!$B$5+D9*'Element Constants'!$B$6+E9*'Element Constants'!$B$7+F9*'Element Constants'!$B$8+G9*'Element Constants'!$B$9)/(SUM(B9:G9))</x:f>
        <x:v>8.8</x:v>
      </x:c>
      <x:c r="J9" s="48" t="n">
        <x:f>100*SQRT((B9/(SUM(B9:G9)))*(1-'Element Constants'!$C$4/H9)^2+(C9/(SUM(B9:G9)))*(1-'Element Constants'!$C$5/H9)^2+(D9/(SUM(B9:G9)))*(1-'Element Constants'!$C$6/H9)^2+(E9/(SUM(B9:G9)))*(1-'Element Constants'!$C$7/H9)^2+(F9/(SUM(B9:G9)))*(1-'Element Constants'!$C$8/H9)^2+(G9/(SUM(B9:G9)))*(1-'Element Constants'!$C$9/H9)^2)</x:f>
        <x:v>1.2678288431061853</x:v>
      </x:c>
      <x:c r="K9" s="48" t="n">
        <x:f>(B9*'Element Constants'!$D$4+C9*'Element Constants'!$D$5+D9*'Element Constants'!$D$6+E9*'Element Constants'!$D$7+F9*'Element Constants'!$D$8+G9*'Element Constants'!$D$9)/(B9*'Element Constants'!$D$4/'Element Constants'!$E$4+C9*'Element Constants'!$D$5/'Element Constants'!$E$5+D9*'Element Constants'!$D$6/'Element Constants'!$E$6+E9*'Element Constants'!$D$7/'Element Constants'!$E$7+F9*'Element Constants'!$D$8/'Element Constants'!$E$8+G9*'Element Constants'!$D$9/'Element Constants'!$E$9)</x:f>
        <x:v>8.346534417621776</x:v>
      </x:c>
      <x:c r="L9" s="48" t="n">
        <x:v>163.7</x:v>
      </x:c>
      <x:c r="M9" s="48" t="b">
        <x:f>L9&gt;=450</x:f>
        <x:v>0</x:v>
      </x:c>
      <x:c r="N9" s="48" t="n">
        <x:f>L9/K9</x:f>
        <x:v>19.612930566054498</x:v>
      </x:c>
      <x:c r="O9" s="48" t="n">
        <x:f>(B9*'Element Constants'!$D$4*'Element Constants'!$F$4+C9*'Element Constants'!$D$5*'Element Constants'!$F$5+D9*'Element Constants'!$D$6*'Element Constants'!$F$6+E9*'Element Constants'!$D$7*'Element Constants'!$F$7+F9*'Element Constants'!$D$8*'Element Constants'!$F$8+G9*'Element Constants'!$D$9*'Element Constants'!$F$9)/(B9*'Element Constants'!$D$4+C9*'Element Constants'!$D$5+D9*'Element Constants'!$D$6+E9*'Element Constants'!$D$7+F9*'Element Constants'!$D$8+G9*'Element Constants'!$D$9)</x:f>
        <x:v>9.53057675120591</x:v>
      </x:c>
      <x:c r="P9" s="48" t="n">
        <x:f>O9/MIN($O$7:$O$21)</x:f>
        <x:v>3.1400854996428773</x:v>
      </x:c>
      <x:c r="Q9" s="30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0" t="str">
        <x:v>D</x:v>
      </x:c>
      <x:c r="B10" s="48" t="n">
        <x:v>15.4</x:v>
      </x:c>
      <x:c r="C10" s="48" t="n">
        <x:v>15.4</x:v>
      </x:c>
      <x:c r="D10" s="48" t="n">
        <x:v>15.4</x:v>
      </x:c>
      <x:c r="E10" s="48" t="n">
        <x:v>0</x:v>
      </x:c>
      <x:c r="F10" s="48" t="n">
        <x:v>15.4</x:v>
      </x:c>
      <x:c r="G10" s="48" t="n">
        <x:v>38.5</x:v>
      </x:c>
      <x:c r="H10" s="48" t="n">
        <x:f>(B10*'Element Constants'!$C$4+C10*'Element Constants'!$C$5+D10*'Element Constants'!$C$6+E10*'Element Constants'!$C$7+F10*'Element Constants'!$C$8+G10*'Element Constants'!$C$9)/(SUM(B10:G10))</x:f>
        <x:v>128.00000000000003</x:v>
      </x:c>
      <x:c r="I10" s="48" t="n">
        <x:f>(B10*'Element Constants'!$B$4+C10*'Element Constants'!$B$5+D10*'Element Constants'!$B$6+E10*'Element Constants'!$B$7+F10*'Element Constants'!$B$8+G10*'Element Constants'!$B$9)/(SUM(B10:G10))</x:f>
        <x:v>7.846153846153848</x:v>
      </x:c>
      <x:c r="J10" s="48" t="n">
        <x:f>100*SQRT((B10/(SUM(B10:G10)))*(1-'Element Constants'!$C$4/H10)^2+(C10/(SUM(B10:G10)))*(1-'Element Constants'!$C$5/H10)^2+(D10/(SUM(B10:G10)))*(1-'Element Constants'!$C$6/H10)^2+(E10/(SUM(B10:G10)))*(1-'Element Constants'!$C$7/H10)^2+(F10/(SUM(B10:G10)))*(1-'Element Constants'!$C$8/H10)^2+(G10/(SUM(B10:G10)))*(1-'Element Constants'!$C$9/H10)^2)</x:f>
        <x:v>5.109233487219298</x:v>
      </x:c>
      <x:c r="K10" s="48" t="n">
        <x:f>(B10*'Element Constants'!$D$4+C10*'Element Constants'!$D$5+D10*'Element Constants'!$D$6+E10*'Element Constants'!$D$7+F10*'Element Constants'!$D$8+G10*'Element Constants'!$D$9)/(B10*'Element Constants'!$D$4/'Element Constants'!$E$4+C10*'Element Constants'!$D$5/'Element Constants'!$E$5+D10*'Element Constants'!$D$6/'Element Constants'!$E$6+E10*'Element Constants'!$D$7/'Element Constants'!$E$7+F10*'Element Constants'!$D$8/'Element Constants'!$E$8+G10*'Element Constants'!$D$9/'Element Constants'!$E$9)</x:f>
        <x:v>7.181649885946389</x:v>
      </x:c>
      <x:c r="L10" s="48" t="n">
        <x:v>294.25666666666666</x:v>
      </x:c>
      <x:c r="M10" s="48" t="b">
        <x:f>L10&gt;=450</x:f>
        <x:v>0</x:v>
      </x:c>
      <x:c r="N10" s="48" t="n">
        <x:f>L10/K10</x:f>
        <x:v>40.97340741192229</x:v>
      </x:c>
      <x:c r="O10" s="48" t="n">
        <x:f>(B10*'Element Constants'!$D$4*'Element Constants'!$F$4+C10*'Element Constants'!$D$5*'Element Constants'!$F$5+D10*'Element Constants'!$D$6*'Element Constants'!$F$6+E10*'Element Constants'!$D$7*'Element Constants'!$F$7+F10*'Element Constants'!$D$8*'Element Constants'!$F$8+G10*'Element Constants'!$D$9*'Element Constants'!$F$9)/(B10*'Element Constants'!$D$4+C10*'Element Constants'!$D$5+D10*'Element Constants'!$D$6+E10*'Element Constants'!$D$7+F10*'Element Constants'!$D$8+G10*'Element Constants'!$D$9)</x:f>
        <x:v>9.340861078453859</x:v>
      </x:c>
      <x:c r="P10" s="48" t="n">
        <x:f>O10/MIN($O$7:$O$21)</x:f>
        <x:v>3.0775789537522176</x:v>
      </x:c>
      <x:c r="Q10" s="30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0" t="str">
        <x:v>E</x:v>
      </x:c>
      <x:c r="B11" s="48" t="n">
        <x:v>10.7</x:v>
      </x:c>
      <x:c r="C11" s="48" t="n">
        <x:v>0</x:v>
      </x:c>
      <x:c r="D11" s="48" t="n">
        <x:v>17.9</x:v>
      </x:c>
      <x:c r="E11" s="48" t="n">
        <x:v>17.9</x:v>
      </x:c>
      <x:c r="F11" s="48" t="n">
        <x:v>17.9</x:v>
      </x:c>
      <x:c r="G11" s="48" t="n">
        <x:v>35.7</x:v>
      </x:c>
      <x:c r="H11" s="48" t="n">
        <x:f>(B11*'Element Constants'!$C$4+C11*'Element Constants'!$C$5+D11*'Element Constants'!$C$6+E11*'Element Constants'!$C$7+F11*'Element Constants'!$C$8+G11*'Element Constants'!$C$9)/(SUM(B11:G11))</x:f>
        <x:v>127.81918081918081</x:v>
      </x:c>
      <x:c r="I11" s="48" t="n">
        <x:f>(B11*'Element Constants'!$B$4+C11*'Element Constants'!$B$5+D11*'Element Constants'!$B$6+E11*'Element Constants'!$B$7+F11*'Element Constants'!$B$8+G11*'Element Constants'!$B$9)/(SUM(B11:G11))</x:f>
        <x:v>8.357642357642357</x:v>
      </x:c>
      <x:c r="J11" s="48" t="n">
        <x:f>100*SQRT((B11/(SUM(B11:G11)))*(1-'Element Constants'!$C$4/H11)^2+(C11/(SUM(B11:G11)))*(1-'Element Constants'!$C$5/H11)^2+(D11/(SUM(B11:G11)))*(1-'Element Constants'!$C$6/H11)^2+(E11/(SUM(B11:G11)))*(1-'Element Constants'!$C$7/H11)^2+(F11/(SUM(B11:G11)))*(1-'Element Constants'!$C$8/H11)^2+(G11/(SUM(B11:G11)))*(1-'Element Constants'!$C$9/H11)^2)</x:f>
        <x:v>4.316433902872773</x:v>
      </x:c>
      <x:c r="K11" s="48" t="n">
        <x:f>(B11*'Element Constants'!$D$4+C11*'Element Constants'!$D$5+D11*'Element Constants'!$D$6+E11*'Element Constants'!$D$7+F11*'Element Constants'!$D$8+G11*'Element Constants'!$D$9)/(B11*'Element Constants'!$D$4/'Element Constants'!$E$4+C11*'Element Constants'!$D$5/'Element Constants'!$E$5+D11*'Element Constants'!$D$6/'Element Constants'!$E$6+E11*'Element Constants'!$D$7/'Element Constants'!$E$7+F11*'Element Constants'!$D$8/'Element Constants'!$E$8+G11*'Element Constants'!$D$9/'Element Constants'!$E$9)</x:f>
        <x:v>7.514669457107665</x:v>
      </x:c>
      <x:c r="L11" s="48" t="n">
        <x:v>278.51</x:v>
      </x:c>
      <x:c r="M11" s="48" t="b">
        <x:f>L11&gt;=450</x:f>
        <x:v>0</x:v>
      </x:c>
      <x:c r="N11" s="48" t="n">
        <x:f>L11/K11</x:f>
        <x:v>37.06217573370103</x:v>
      </x:c>
      <x:c r="O11" s="48" t="n">
        <x:f>(B11*'Element Constants'!$D$4*'Element Constants'!$F$4+C11*'Element Constants'!$D$5*'Element Constants'!$F$5+D11*'Element Constants'!$D$6*'Element Constants'!$F$6+E11*'Element Constants'!$D$7*'Element Constants'!$F$7+F11*'Element Constants'!$D$8*'Element Constants'!$F$8+G11*'Element Constants'!$D$9*'Element Constants'!$F$9)/(B11*'Element Constants'!$D$4+C11*'Element Constants'!$D$5+D11*'Element Constants'!$D$6+E11*'Element Constants'!$D$7+F11*'Element Constants'!$D$8+G11*'Element Constants'!$D$9)</x:f>
        <x:v>6.228521481316799</x:v>
      </x:c>
      <x:c r="P11" s="48" t="n">
        <x:f>O11/MIN($O$7:$O$21)</x:f>
        <x:v>2.052141281504538</x:v>
      </x:c>
      <x:c r="Q11" s="30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0" t="str">
        <x:v>F</x:v>
      </x:c>
      <x:c r="B12" s="48" t="n">
        <x:v>6.3</x:v>
      </x:c>
      <x:c r="C12" s="48" t="n">
        <x:v>0</x:v>
      </x:c>
      <x:c r="D12" s="48" t="n">
        <x:v>31.3</x:v>
      </x:c>
      <x:c r="E12" s="48" t="n">
        <x:v>0</x:v>
      </x:c>
      <x:c r="F12" s="48" t="n">
        <x:v>46.9</x:v>
      </x:c>
      <x:c r="G12" s="48" t="n">
        <x:v>15.6</x:v>
      </x:c>
      <x:c r="H12" s="48" t="n">
        <x:f>(B12*'Element Constants'!$C$4+C12*'Element Constants'!$C$5+D12*'Element Constants'!$C$6+E12*'Element Constants'!$C$7+F12*'Element Constants'!$C$8+G12*'Element Constants'!$C$9)/(SUM(B12:G12))</x:f>
        <x:v>127.3836163836164</x:v>
      </x:c>
      <x:c r="I12" s="48" t="n">
        <x:f>(B12*'Element Constants'!$B$4+C12*'Element Constants'!$B$5+D12*'Element Constants'!$B$6+E12*'Element Constants'!$B$7+F12*'Element Constants'!$B$8+G12*'Element Constants'!$B$9)/(SUM(B12:G12))</x:f>
        <x:v>7.371628371628372</x:v>
      </x:c>
      <x:c r="J12" s="48" t="n">
        <x:f>100*SQRT((B12/(SUM(B12:G12)))*(1-'Element Constants'!$C$4/H12)^2+(C12/(SUM(B12:G12)))*(1-'Element Constants'!$C$5/H12)^2+(D12/(SUM(B12:G12)))*(1-'Element Constants'!$C$6/H12)^2+(E12/(SUM(B12:G12)))*(1-'Element Constants'!$C$7/H12)^2+(F12/(SUM(B12:G12)))*(1-'Element Constants'!$C$8/H12)^2+(G12/(SUM(B12:G12)))*(1-'Element Constants'!$C$9/H12)^2)</x:f>
        <x:v>3.344315990379184</x:v>
      </x:c>
      <x:c r="K12" s="48" t="n">
        <x:f>(B12*'Element Constants'!$D$4+C12*'Element Constants'!$D$5+D12*'Element Constants'!$D$6+E12*'Element Constants'!$D$7+F12*'Element Constants'!$D$8+G12*'Element Constants'!$D$9)/(B12*'Element Constants'!$D$4/'Element Constants'!$E$4+C12*'Element Constants'!$D$5/'Element Constants'!$E$5+D12*'Element Constants'!$D$6/'Element Constants'!$E$6+E12*'Element Constants'!$D$7/'Element Constants'!$E$7+F12*'Element Constants'!$D$8/'Element Constants'!$E$8+G12*'Element Constants'!$D$9/'Element Constants'!$E$9)</x:f>
        <x:v>7.357551775489426</x:v>
      </x:c>
      <x:c r="L12" s="48" t="n">
        <x:v>296.5</x:v>
      </x:c>
      <x:c r="M12" s="48" t="b">
        <x:f>L12&gt;=450</x:f>
        <x:v>0</x:v>
      </x:c>
      <x:c r="N12" s="48" t="n">
        <x:f>L12/K12</x:f>
        <x:v>40.29873102459775</x:v>
      </x:c>
      <x:c r="O12" s="48" t="n">
        <x:f>(B12*'Element Constants'!$D$4*'Element Constants'!$F$4+C12*'Element Constants'!$D$5*'Element Constants'!$F$5+D12*'Element Constants'!$D$6*'Element Constants'!$F$6+E12*'Element Constants'!$D$7*'Element Constants'!$F$7+F12*'Element Constants'!$D$8*'Element Constants'!$F$8+G12*'Element Constants'!$D$9*'Element Constants'!$F$9)/(B12*'Element Constants'!$D$4+C12*'Element Constants'!$D$5+D12*'Element Constants'!$D$6+E12*'Element Constants'!$D$7+F12*'Element Constants'!$D$8+G12*'Element Constants'!$D$9)</x:f>
        <x:v>3.035132881665109</x:v>
      </x:c>
      <x:c r="P12" s="48" t="n">
        <x:f>O12/MIN($O$7:$O$21)</x:f>
        <x:v>1</x:v>
      </x:c>
      <x:c r="Q12" s="30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0" t="str">
        <x:v>G</x:v>
      </x:c>
      <x:c r="B13" s="48" t="n">
        <x:v>18.2</x:v>
      </x:c>
      <x:c r="C13" s="48" t="n">
        <x:v>27.3</x:v>
      </x:c>
      <x:c r="D13" s="48" t="n">
        <x:v>0</x:v>
      </x:c>
      <x:c r="E13" s="48" t="n">
        <x:v>18.2</x:v>
      </x:c>
      <x:c r="F13" s="48" t="n">
        <x:v>18.2</x:v>
      </x:c>
      <x:c r="G13" s="48" t="n">
        <x:v>18.2</x:v>
      </x:c>
      <x:c r="H13" s="48" t="n">
        <x:f>(B13*'Element Constants'!$C$4+C13*'Element Constants'!$C$5+D13*'Element Constants'!$C$6+E13*'Element Constants'!$C$7+F13*'Element Constants'!$C$8+G13*'Element Constants'!$C$9)/(SUM(B13:G13))</x:f>
        <x:v>128.8181818181818</x:v>
      </x:c>
      <x:c r="I13" s="48" t="n">
        <x:f>(B13*'Element Constants'!$B$4+C13*'Element Constants'!$B$5+D13*'Element Constants'!$B$6+E13*'Element Constants'!$B$7+F13*'Element Constants'!$B$8+G13*'Element Constants'!$B$9)/(SUM(B13:G13))</x:f>
        <x:v>8.272727272727272</x:v>
      </x:c>
      <x:c r="J13" s="48" t="n">
        <x:f>100*SQRT((B13/(SUM(B13:G13)))*(1-'Element Constants'!$C$4/H13)^2+(C13/(SUM(B13:G13)))*(1-'Element Constants'!$C$5/H13)^2+(D13/(SUM(B13:G13)))*(1-'Element Constants'!$C$6/H13)^2+(E13/(SUM(B13:G13)))*(1-'Element Constants'!$C$7/H13)^2+(F13/(SUM(B13:G13)))*(1-'Element Constants'!$C$8/H13)^2+(G13/(SUM(B13:G13)))*(1-'Element Constants'!$C$9/H13)^2)</x:f>
        <x:v>5.283925630863763</x:v>
      </x:c>
      <x:c r="K13" s="48" t="n">
        <x:f>(B13*'Element Constants'!$D$4+C13*'Element Constants'!$D$5+D13*'Element Constants'!$D$6+E13*'Element Constants'!$D$7+F13*'Element Constants'!$D$8+G13*'Element Constants'!$D$9)/(B13*'Element Constants'!$D$4/'Element Constants'!$E$4+C13*'Element Constants'!$D$5/'Element Constants'!$E$5+D13*'Element Constants'!$D$6/'Element Constants'!$E$6+E13*'Element Constants'!$D$7/'Element Constants'!$E$7+F13*'Element Constants'!$D$8/'Element Constants'!$E$8+G13*'Element Constants'!$D$9/'Element Constants'!$E$9)</x:f>
        <x:v>7.2106245559471045</x:v>
      </x:c>
      <x:c r="L13" s="48" t="n">
        <x:v>346.17</x:v>
      </x:c>
      <x:c r="M13" s="48" t="b">
        <x:f>L13&gt;=450</x:f>
        <x:v>0</x:v>
      </x:c>
      <x:c r="N13" s="48" t="n">
        <x:f>L13/K13</x:f>
        <x:v>48.008324010503294</x:v>
      </x:c>
      <x:c r="O13" s="48" t="n">
        <x:f>(B13*'Element Constants'!$D$4*'Element Constants'!$F$4+C13*'Element Constants'!$D$5*'Element Constants'!$F$5+D13*'Element Constants'!$D$6*'Element Constants'!$F$6+E13*'Element Constants'!$D$7*'Element Constants'!$F$7+F13*'Element Constants'!$D$8*'Element Constants'!$F$8+G13*'Element Constants'!$D$9*'Element Constants'!$F$9)/(B13*'Element Constants'!$D$4+C13*'Element Constants'!$D$5+D13*'Element Constants'!$D$6+E13*'Element Constants'!$D$7+F13*'Element Constants'!$D$8+G13*'Element Constants'!$D$9)</x:f>
        <x:v>11.637152144185846</x:v>
      </x:c>
      <x:c r="P13" s="48" t="n">
        <x:f>O13/MIN($O$7:$O$21)</x:f>
        <x:v>3.8341491453255814</x:v>
      </x:c>
      <x:c r="Q13" s="30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0" t="str">
        <x:v>H</x:v>
      </x:c>
      <x:c r="B14" s="48" t="n">
        <x:v>20</x:v>
      </x:c>
      <x:c r="C14" s="48" t="n">
        <x:v>26.7</x:v>
      </x:c>
      <x:c r="D14" s="48" t="n">
        <x:v>0</x:v>
      </x:c>
      <x:c r="E14" s="48" t="n">
        <x:v>0</x:v>
      </x:c>
      <x:c r="F14" s="48" t="n">
        <x:v>26.7</x:v>
      </x:c>
      <x:c r="G14" s="48" t="n">
        <x:v>26.7</x:v>
      </x:c>
      <x:c r="H14" s="48" t="n">
        <x:f>(B14*'Element Constants'!$C$4+C14*'Element Constants'!$C$5+D14*'Element Constants'!$C$6+E14*'Element Constants'!$C$7+F14*'Element Constants'!$C$8+G14*'Element Constants'!$C$9)/(SUM(B14:G14))</x:f>
        <x:v>128.59640359640358</x:v>
      </x:c>
      <x:c r="I14" s="48" t="n">
        <x:f>(B14*'Element Constants'!$B$4+C14*'Element Constants'!$B$5+D14*'Element Constants'!$B$6+E14*'Element Constants'!$B$7+F14*'Element Constants'!$B$8+G14*'Element Constants'!$B$9)/(SUM(B14:G14))</x:f>
        <x:v>7.8011988011988</x:v>
      </x:c>
      <x:c r="J14" s="48" t="n">
        <x:f>100*SQRT((B14/(SUM(B14:G14)))*(1-'Element Constants'!$C$4/H14)^2+(C14/(SUM(B14:G14)))*(1-'Element Constants'!$C$5/H14)^2+(D14/(SUM(B14:G14)))*(1-'Element Constants'!$C$6/H14)^2+(E14/(SUM(B14:G14)))*(1-'Element Constants'!$C$7/H14)^2+(F14/(SUM(B14:G14)))*(1-'Element Constants'!$C$8/H14)^2+(G14/(SUM(B14:G14)))*(1-'Element Constants'!$C$9/H14)^2)</x:f>
        <x:v>5.625558991101926</x:v>
      </x:c>
      <x:c r="K14" s="48" t="n">
        <x:f>(B14*'Element Constants'!$D$4+C14*'Element Constants'!$D$5+D14*'Element Constants'!$D$6+E14*'Element Constants'!$D$7+F14*'Element Constants'!$D$8+G14*'Element Constants'!$D$9)/(B14*'Element Constants'!$D$4/'Element Constants'!$E$4+C14*'Element Constants'!$D$5/'Element Constants'!$E$5+D14*'Element Constants'!$D$6/'Element Constants'!$E$6+E14*'Element Constants'!$D$7/'Element Constants'!$E$7+F14*'Element Constants'!$D$8/'Element Constants'!$E$8+G14*'Element Constants'!$D$9/'Element Constants'!$E$9)</x:f>
        <x:v>6.969907641485769</x:v>
      </x:c>
      <x:c r="L14" s="48" t="n">
        <x:v>469.63</x:v>
      </x:c>
      <x:c r="M14" s="48" t="b">
        <x:f>L14&gt;=450</x:f>
        <x:v>1</x:v>
      </x:c>
      <x:c r="N14" s="48" t="n">
        <x:f>L14/K14</x:f>
        <x:v>67.3796589792242</x:v>
      </x:c>
      <x:c r="O14" s="48" t="n">
        <x:f>(B14*'Element Constants'!$D$4*'Element Constants'!$F$4+C14*'Element Constants'!$D$5*'Element Constants'!$F$5+D14*'Element Constants'!$D$6*'Element Constants'!$F$6+E14*'Element Constants'!$D$7*'Element Constants'!$F$7+F14*'Element Constants'!$D$8*'Element Constants'!$F$8+G14*'Element Constants'!$D$9*'Element Constants'!$F$9)/(B14*'Element Constants'!$D$4+C14*'Element Constants'!$D$5+D14*'Element Constants'!$D$6+E14*'Element Constants'!$D$7+F14*'Element Constants'!$D$8+G14*'Element Constants'!$D$9)</x:f>
        <x:v>11.13436243529633</x:v>
      </x:c>
      <x:c r="P14" s="48" t="n">
        <x:f>O14/MIN($O$7:$O$21)</x:f>
        <x:v>3.6684925732766898</x:v>
      </x:c>
      <x:c r="Q14" s="30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0" t="str">
        <x:v>I</x:v>
      </x:c>
      <x:c r="B15" s="48" t="n">
        <x:v>10</x:v>
      </x:c>
      <x:c r="C15" s="48" t="n">
        <x:v>0</x:v>
      </x:c>
      <x:c r="D15" s="48" t="n">
        <x:v>35</x:v>
      </x:c>
      <x:c r="E15" s="48" t="n">
        <x:v>24</x:v>
      </x:c>
      <x:c r="F15" s="48" t="n">
        <x:v>5</x:v>
      </x:c>
      <x:c r="G15" s="48" t="n">
        <x:v>26</x:v>
      </x:c>
      <x:c r="H15" s="48" t="n">
        <x:f>(B15*'Element Constants'!$C$4+C15*'Element Constants'!$C$5+D15*'Element Constants'!$C$6+E15*'Element Constants'!$C$7+F15*'Element Constants'!$C$8+G15*'Element Constants'!$C$9)/(SUM(B15:G15))</x:f>
        <x:v>128.36</x:v>
      </x:c>
      <x:c r="I15" s="48" t="n">
        <x:f>(B15*'Element Constants'!$B$4+C15*'Element Constants'!$B$5+D15*'Element Constants'!$B$6+E15*'Element Constants'!$B$7+F15*'Element Constants'!$B$8+G15*'Element Constants'!$B$9)/(SUM(B15:G15))</x:f>
        <x:v>8.04</x:v>
      </x:c>
      <x:c r="J15" s="48" t="n">
        <x:f>100*SQRT((B15/(SUM(B15:G15)))*(1-'Element Constants'!$C$4/H15)^2+(C15/(SUM(B15:G15)))*(1-'Element Constants'!$C$5/H15)^2+(D15/(SUM(B15:G15)))*(1-'Element Constants'!$C$6/H15)^2+(E15/(SUM(B15:G15)))*(1-'Element Constants'!$C$7/H15)^2+(F15/(SUM(B15:G15)))*(1-'Element Constants'!$C$8/H15)^2+(G15/(SUM(B15:G15)))*(1-'Element Constants'!$C$9/H15)^2)</x:f>
        <x:v>4.027847511423382</x:v>
      </x:c>
      <x:c r="K15" s="48" t="n">
        <x:f>(B15*'Element Constants'!$D$4+C15*'Element Constants'!$D$5+D15*'Element Constants'!$D$6+E15*'Element Constants'!$D$7+F15*'Element Constants'!$D$8+G15*'Element Constants'!$D$9)/(B15*'Element Constants'!$D$4/'Element Constants'!$E$4+C15*'Element Constants'!$D$5/'Element Constants'!$E$5+D15*'Element Constants'!$D$6/'Element Constants'!$E$6+E15*'Element Constants'!$D$7/'Element Constants'!$E$7+F15*'Element Constants'!$D$8/'Element Constants'!$E$8+G15*'Element Constants'!$D$9/'Element Constants'!$E$9)</x:f>
        <x:v>7.424443624842022</x:v>
      </x:c>
      <x:c r="L15" s="48" t="n">
        <x:v>470.0733333333333</x:v>
      </x:c>
      <x:c r="M15" s="48" t="b">
        <x:f>L15&gt;=450</x:f>
        <x:v>1</x:v>
      </x:c>
      <x:c r="N15" s="48" t="n">
        <x:f>L15/K15</x:f>
        <x:v>63.31428415194352</x:v>
      </x:c>
      <x:c r="O15" s="48" t="n">
        <x:f>(B15*'Element Constants'!$D$4*'Element Constants'!$F$4+C15*'Element Constants'!$D$5*'Element Constants'!$F$5+D15*'Element Constants'!$D$6*'Element Constants'!$F$6+E15*'Element Constants'!$D$7*'Element Constants'!$F$7+F15*'Element Constants'!$D$8*'Element Constants'!$F$8+G15*'Element Constants'!$D$9*'Element Constants'!$F$9)/(B15*'Element Constants'!$D$4+C15*'Element Constants'!$D$5+D15*'Element Constants'!$D$6+E15*'Element Constants'!$D$7+F15*'Element Constants'!$D$8+G15*'Element Constants'!$D$9)</x:f>
        <x:v>6.057087140326876</x:v>
      </x:c>
      <x:c r="P15" s="48" t="n">
        <x:f>O15/MIN($O$7:$O$21)</x:f>
        <x:v>1.9956579749496464</x:v>
      </x:c>
      <x:c r="Q15" s="30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0" t="str">
        <x:v>J</x:v>
      </x:c>
      <x:c r="B16" s="48" t="n">
        <x:v>20.6</x:v>
      </x:c>
      <x:c r="C16" s="48" t="n">
        <x:v>15.9</x:v>
      </x:c>
      <x:c r="D16" s="48" t="n">
        <x:v>15.9</x:v>
      </x:c>
      <x:c r="E16" s="48" t="n">
        <x:v>15.9</x:v>
      </x:c>
      <x:c r="F16" s="48" t="n">
        <x:v>15.9</x:v>
      </x:c>
      <x:c r="G16" s="48" t="n">
        <x:v>15.9</x:v>
      </x:c>
      <x:c r="H16" s="48" t="n">
        <x:f>(B16*'Element Constants'!$C$4+C16*'Element Constants'!$C$5+D16*'Element Constants'!$C$6+E16*'Element Constants'!$C$7+F16*'Element Constants'!$C$8+G16*'Element Constants'!$C$9)/(SUM(B16:G16))</x:f>
        <x:v>129.65734265734267</x:v>
      </x:c>
      <x:c r="I16" s="48" t="n">
        <x:f>(B16*'Element Constants'!$B$4+C16*'Element Constants'!$B$5+D16*'Element Constants'!$B$6+E16*'Element Constants'!$B$7+F16*'Element Constants'!$B$8+G16*'Element Constants'!$B$9)/(SUM(B16:G16))</x:f>
        <x:v>7.606393606393607</x:v>
      </x:c>
      <x:c r="J16" s="48" t="n">
        <x:f>100*SQRT((B16/(SUM(B16:G16)))*(1-'Element Constants'!$C$4/H16)^2+(C16/(SUM(B16:G16)))*(1-'Element Constants'!$C$5/H16)^2+(D16/(SUM(B16:G16)))*(1-'Element Constants'!$C$6/H16)^2+(E16/(SUM(B16:G16)))*(1-'Element Constants'!$C$7/H16)^2+(F16/(SUM(B16:G16)))*(1-'Element Constants'!$C$8/H16)^2+(G16/(SUM(B16:G16)))*(1-'Element Constants'!$C$9/H16)^2)</x:f>
        <x:v>5.352553600459017</x:v>
      </x:c>
      <x:c r="K16" s="48" t="n">
        <x:f>(B16*'Element Constants'!$D$4+C16*'Element Constants'!$D$5+D16*'Element Constants'!$D$6+E16*'Element Constants'!$D$7+F16*'Element Constants'!$D$8+G16*'Element Constants'!$D$9)/(B16*'Element Constants'!$D$4/'Element Constants'!$E$4+C16*'Element Constants'!$D$5/'Element Constants'!$E$5+D16*'Element Constants'!$D$6/'Element Constants'!$E$6+E16*'Element Constants'!$D$7/'Element Constants'!$E$7+F16*'Element Constants'!$D$8/'Element Constants'!$E$8+G16*'Element Constants'!$D$9/'Element Constants'!$E$9)</x:f>
        <x:v>6.809846228229268</x:v>
      </x:c>
      <x:c r="L16" s="48" t="n">
        <x:v>502.37666666666667</x:v>
      </x:c>
      <x:c r="M16" s="48" t="b">
        <x:f>L16&gt;=450</x:f>
        <x:v>1</x:v>
      </x:c>
      <x:c r="N16" s="48" t="n">
        <x:f>L16/K16</x:f>
        <x:v>73.77210142927079</x:v>
      </x:c>
      <x:c r="O16" s="48" t="n">
        <x:f>(B16*'Element Constants'!$D$4*'Element Constants'!$F$4+C16*'Element Constants'!$D$5*'Element Constants'!$F$5+D16*'Element Constants'!$D$6*'Element Constants'!$F$6+E16*'Element Constants'!$D$7*'Element Constants'!$F$7+F16*'Element Constants'!$D$8*'Element Constants'!$F$8+G16*'Element Constants'!$D$9*'Element Constants'!$F$9)/(B16*'Element Constants'!$D$4+C16*'Element Constants'!$D$5+D16*'Element Constants'!$D$6+E16*'Element Constants'!$D$7+F16*'Element Constants'!$D$8+G16*'Element Constants'!$D$9)</x:f>
        <x:v>8.718011077721869</x:v>
      </x:c>
      <x:c r="P16" s="48" t="n">
        <x:f>O16/MIN($O$7:$O$21)</x:f>
        <x:v>2.872365533115989</x:v>
      </x:c>
      <x:c r="Q16" s="30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0" t="str">
        <x:v>K</x:v>
      </x:c>
      <x:c r="B17" s="48" t="n">
        <x:v>20</x:v>
      </x:c>
      <x:c r="C17" s="48" t="n">
        <x:v>20</x:v>
      </x:c>
      <x:c r="D17" s="48" t="n">
        <x:v>20</x:v>
      </x:c>
      <x:c r="E17" s="48" t="n">
        <x:v>0</x:v>
      </x:c>
      <x:c r="F17" s="48" t="n">
        <x:v>20</x:v>
      </x:c>
      <x:c r="G17" s="48" t="n">
        <x:v>20</x:v>
      </x:c>
      <x:c r="H17" s="48" t="n">
        <x:f>(B17*'Element Constants'!$C$4+C17*'Element Constants'!$C$5+D17*'Element Constants'!$C$6+E17*'Element Constants'!$C$7+F17*'Element Constants'!$C$8+G17*'Element Constants'!$C$9)/(SUM(B17:G17))</x:f>
        <x:v>129.2</x:v>
      </x:c>
      <x:c r="I17" s="48" t="n">
        <x:f>(B17*'Element Constants'!$B$4+C17*'Element Constants'!$B$5+D17*'Element Constants'!$B$6+E17*'Element Constants'!$B$7+F17*'Element Constants'!$B$8+G17*'Element Constants'!$B$9)/(SUM(B17:G17))</x:f>
        <x:v>7.2</x:v>
      </x:c>
      <x:c r="J17" s="48" t="n">
        <x:f>100*SQRT((B17/(SUM(B17:G17)))*(1-'Element Constants'!$C$4/H17)^2+(C17/(SUM(B17:G17)))*(1-'Element Constants'!$C$5/H17)^2+(D17/(SUM(B17:G17)))*(1-'Element Constants'!$C$6/H17)^2+(E17/(SUM(B17:G17)))*(1-'Element Constants'!$C$7/H17)^2+(F17/(SUM(B17:G17)))*(1-'Element Constants'!$C$8/H17)^2+(G17/(SUM(B17:G17)))*(1-'Element Constants'!$C$9/H17)^2)</x:f>
        <x:v>5.437822931966037</x:v>
      </x:c>
      <x:c r="K17" s="48" t="n">
        <x:f>(B17*'Element Constants'!$D$4+C17*'Element Constants'!$D$5+D17*'Element Constants'!$D$6+E17*'Element Constants'!$D$7+F17*'Element Constants'!$D$8+G17*'Element Constants'!$D$9)/(B17*'Element Constants'!$D$4/'Element Constants'!$E$4+C17*'Element Constants'!$D$5/'Element Constants'!$E$5+D17*'Element Constants'!$D$6/'Element Constants'!$E$6+E17*'Element Constants'!$D$7/'Element Constants'!$E$7+F17*'Element Constants'!$D$8/'Element Constants'!$E$8+G17*'Element Constants'!$D$9/'Element Constants'!$E$9)</x:f>
        <x:v>6.727000452000411</x:v>
      </x:c>
      <x:c r="L17" s="48" t="n">
        <x:v>535.14</x:v>
      </x:c>
      <x:c r="M17" s="48" t="b">
        <x:f>L17&gt;=450</x:f>
        <x:v>1</x:v>
      </x:c>
      <x:c r="N17" s="48" t="n">
        <x:f>L17/K17</x:f>
        <x:v>79.551057535735</x:v>
      </x:c>
      <x:c r="O17" s="48" t="n">
        <x:f>(B17*'Element Constants'!$D$4*'Element Constants'!$F$4+C17*'Element Constants'!$D$5*'Element Constants'!$F$5+D17*'Element Constants'!$D$6*'Element Constants'!$F$6+E17*'Element Constants'!$D$7*'Element Constants'!$F$7+F17*'Element Constants'!$D$8*'Element Constants'!$F$8+G17*'Element Constants'!$D$9*'Element Constants'!$F$9)/(B17*'Element Constants'!$D$4+C17*'Element Constants'!$D$5+D17*'Element Constants'!$D$6+E17*'Element Constants'!$D$7+F17*'Element Constants'!$D$8+G17*'Element Constants'!$D$9)</x:f>
        <x:v>9.110990448771474</x:v>
      </x:c>
      <x:c r="P17" s="48" t="n">
        <x:f>O17/MIN($O$7:$O$21)</x:f>
        <x:v>3.001842358800805</x:v>
      </x:c>
      <x:c r="Q17" s="30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0" t="str">
        <x:v>L</x:v>
      </x:c>
      <x:c r="B18" s="48" t="n">
        <x:v>27.3</x:v>
      </x:c>
      <x:c r="C18" s="48" t="n">
        <x:v>0</x:v>
      </x:c>
      <x:c r="D18" s="48" t="n">
        <x:v>18.2</x:v>
      </x:c>
      <x:c r="E18" s="48" t="n">
        <x:v>18.2</x:v>
      </x:c>
      <x:c r="F18" s="48" t="n">
        <x:v>18.2</x:v>
      </x:c>
      <x:c r="G18" s="48" t="n">
        <x:v>18.2</x:v>
      </x:c>
      <x:c r="H18" s="48" t="n">
        <x:f>(B18*'Element Constants'!$C$4+C18*'Element Constants'!$C$5+D18*'Element Constants'!$C$6+E18*'Element Constants'!$C$7+F18*'Element Constants'!$C$8+G18*'Element Constants'!$C$9)/(SUM(B18:G18))</x:f>
        <x:v>130.99999999999997</x:v>
      </x:c>
      <x:c r="I18" s="48" t="n">
        <x:f>(B18*'Element Constants'!$B$4+C18*'Element Constants'!$B$5+D18*'Element Constants'!$B$6+E18*'Element Constants'!$B$7+F18*'Element Constants'!$B$8+G18*'Element Constants'!$B$9)/(SUM(B18:G18))</x:f>
        <x:v>7.181818181818181</x:v>
      </x:c>
      <x:c r="J18" s="48" t="n">
        <x:f>100*SQRT((B18/(SUM(B18:G18)))*(1-'Element Constants'!$C$4/H18)^2+(C18/(SUM(B18:G18)))*(1-'Element Constants'!$C$5/H18)^2+(D18/(SUM(B18:G18)))*(1-'Element Constants'!$C$6/H18)^2+(E18/(SUM(B18:G18)))*(1-'Element Constants'!$C$7/H18)^2+(F18/(SUM(B18:G18)))*(1-'Element Constants'!$C$8/H18)^2+(G18/(SUM(B18:G18)))*(1-'Element Constants'!$C$9/H18)^2)</x:f>
        <x:v>5.712454025609069</x:v>
      </x:c>
      <x:c r="K18" s="48" t="n">
        <x:f>(B18*'Element Constants'!$D$4+C18*'Element Constants'!$D$5+D18*'Element Constants'!$D$6+E18*'Element Constants'!$D$7+F18*'Element Constants'!$D$8+G18*'Element Constants'!$D$9)/(B18*'Element Constants'!$D$4/'Element Constants'!$E$4+C18*'Element Constants'!$D$5/'Element Constants'!$E$5+D18*'Element Constants'!$D$6/'Element Constants'!$E$6+E18*'Element Constants'!$D$7/'Element Constants'!$E$7+F18*'Element Constants'!$D$8/'Element Constants'!$E$8+G18*'Element Constants'!$D$9/'Element Constants'!$E$9)</x:f>
        <x:v>6.29268466049219</x:v>
      </x:c>
      <x:c r="L18" s="48" t="n">
        <x:v>543.2133333333334</x:v>
      </x:c>
      <x:c r="M18" s="48" t="b">
        <x:f>L18&gt;=450</x:f>
        <x:v>1</x:v>
      </x:c>
      <x:c r="N18" s="48" t="n">
        <x:f>L18/K18</x:f>
        <x:v>86.32457570038878</x:v>
      </x:c>
      <x:c r="O18" s="48" t="n">
        <x:f>(B18*'Element Constants'!$D$4*'Element Constants'!$F$4+C18*'Element Constants'!$D$5*'Element Constants'!$F$5+D18*'Element Constants'!$D$6*'Element Constants'!$F$6+E18*'Element Constants'!$D$7*'Element Constants'!$F$7+F18*'Element Constants'!$D$8*'Element Constants'!$F$8+G18*'Element Constants'!$D$9*'Element Constants'!$F$9)/(B18*'Element Constants'!$D$4+C18*'Element Constants'!$D$5+D18*'Element Constants'!$D$6+E18*'Element Constants'!$D$7+F18*'Element Constants'!$D$8+G18*'Element Constants'!$D$9)</x:f>
        <x:v>5.034440603542193</x:v>
      </x:c>
      <x:c r="P18" s="48" t="n">
        <x:f>O18/MIN($O$7:$O$21)</x:f>
        <x:v>1.6587216441015395</x:v>
      </x:c>
      <x:c r="Q18" s="30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0" t="str">
        <x:v>M</x:v>
      </x:c>
      <x:c r="B19" s="48" t="n">
        <x:v>23.8</x:v>
      </x:c>
      <x:c r="C19" s="48" t="n">
        <x:v>23.8</x:v>
      </x:c>
      <x:c r="D19" s="48" t="n">
        <x:v>23.8</x:v>
      </x:c>
      <x:c r="E19" s="48" t="n">
        <x:v>0</x:v>
      </x:c>
      <x:c r="F19" s="48" t="n">
        <x:v>5</x:v>
      </x:c>
      <x:c r="G19" s="48" t="n">
        <x:v>23.8</x:v>
      </x:c>
      <x:c r="H19" s="48" t="n">
        <x:f>(B19*'Element Constants'!$C$4+C19*'Element Constants'!$C$5+D19*'Element Constants'!$C$6+E19*'Element Constants'!$C$7+F19*'Element Constants'!$C$8+G19*'Element Constants'!$C$9)/(SUM(B19:G19))</x:f>
        <x:v>129.8003992015968</x:v>
      </x:c>
      <x:c r="I19" s="48" t="n">
        <x:f>(B19*'Element Constants'!$B$4+C19*'Element Constants'!$B$5+D19*'Element Constants'!$B$6+E19*'Element Constants'!$B$7+F19*'Element Constants'!$B$8+G19*'Element Constants'!$B$9)/(SUM(B19:G19))</x:f>
        <x:v>7.049900199600799</x:v>
      </x:c>
      <x:c r="J19" s="48" t="n">
        <x:f>100*SQRT((B19/(SUM(B19:G19)))*(1-'Element Constants'!$C$4/H19)^2+(C19/(SUM(B19:G19)))*(1-'Element Constants'!$C$5/H19)^2+(D19/(SUM(B19:G19)))*(1-'Element Constants'!$C$6/H19)^2+(E19/(SUM(B19:G19)))*(1-'Element Constants'!$C$7/H19)^2+(F19/(SUM(B19:G19)))*(1-'Element Constants'!$C$8/H19)^2+(G19/(SUM(B19:G19)))*(1-'Element Constants'!$C$9/H19)^2)</x:f>
        <x:v>5.7826923099649745</x:v>
      </x:c>
      <x:c r="K19" s="48" t="n">
        <x:f>(B19*'Element Constants'!$D$4+C19*'Element Constants'!$D$5+D19*'Element Constants'!$D$6+E19*'Element Constants'!$D$7+F19*'Element Constants'!$D$8+G19*'Element Constants'!$D$9)/(B19*'Element Constants'!$D$4/'Element Constants'!$E$4+C19*'Element Constants'!$D$5/'Element Constants'!$E$5+D19*'Element Constants'!$D$6/'Element Constants'!$E$6+E19*'Element Constants'!$D$7/'Element Constants'!$E$7+F19*'Element Constants'!$D$8/'Element Constants'!$E$8+G19*'Element Constants'!$D$9/'Element Constants'!$E$9)</x:f>
        <x:v>6.525722327105926</x:v>
      </x:c>
      <x:c r="L19" s="48" t="n">
        <x:v>614.14</x:v>
      </x:c>
      <x:c r="M19" s="48" t="b">
        <x:f>L19&gt;=450</x:f>
        <x:v>1</x:v>
      </x:c>
      <x:c r="N19" s="48" t="n">
        <x:f>L19/K19</x:f>
        <x:v>94.11065460892253</x:v>
      </x:c>
      <x:c r="O19" s="48" t="n">
        <x:f>(B19*'Element Constants'!$D$4*'Element Constants'!$F$4+C19*'Element Constants'!$D$5*'Element Constants'!$F$5+D19*'Element Constants'!$D$6*'Element Constants'!$F$6+E19*'Element Constants'!$D$7*'Element Constants'!$F$7+F19*'Element Constants'!$D$8*'Element Constants'!$F$8+G19*'Element Constants'!$D$9*'Element Constants'!$F$9)/(B19*'Element Constants'!$D$4+C19*'Element Constants'!$D$5+D19*'Element Constants'!$D$6+E19*'Element Constants'!$D$7+F19*'Element Constants'!$D$8+G19*'Element Constants'!$D$9)</x:f>
        <x:v>10.828400661732156</x:v>
      </x:c>
      <x:c r="P19" s="48" t="n">
        <x:f>O19/MIN($O$7:$O$21)</x:f>
        <x:v>3.567685858877971</x:v>
      </x:c>
      <x:c r="Q19" s="30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0" t="str">
        <x:v>N</x:v>
      </x:c>
      <x:c r="B20" s="48" t="n">
        <x:v>20</x:v>
      </x:c>
      <x:c r="C20" s="48" t="n">
        <x:v>26.7</x:v>
      </x:c>
      <x:c r="D20" s="48" t="n">
        <x:v>26.7</x:v>
      </x:c>
      <x:c r="E20" s="48" t="n">
        <x:v>0</x:v>
      </x:c>
      <x:c r="F20" s="48" t="n">
        <x:v>26.7</x:v>
      </x:c>
      <x:c r="G20" s="48" t="n">
        <x:v>0</x:v>
      </x:c>
      <x:c r="H20" s="48" t="n">
        <x:f>(B20*'Element Constants'!$C$4+C20*'Element Constants'!$C$5+D20*'Element Constants'!$C$6+E20*'Element Constants'!$C$7+F20*'Element Constants'!$C$8+G20*'Element Constants'!$C$9)/(SUM(B20:G20))</x:f>
        <x:v>129.66333666333665</x:v>
      </x:c>
      <x:c r="I20" s="48" t="n">
        <x:f>(B20*'Element Constants'!$B$4+C20*'Element Constants'!$B$5+D20*'Element Constants'!$B$6+E20*'Element Constants'!$B$7+F20*'Element Constants'!$B$8+G20*'Element Constants'!$B$9)/(SUM(B20:G20))</x:f>
        <x:v>6.734265734265732</x:v>
      </x:c>
      <x:c r="J20" s="48" t="n">
        <x:f>100*SQRT((B20/(SUM(B20:G20)))*(1-'Element Constants'!$C$4/H20)^2+(C20/(SUM(B20:G20)))*(1-'Element Constants'!$C$5/H20)^2+(D20/(SUM(B20:G20)))*(1-'Element Constants'!$C$6/H20)^2+(E20/(SUM(B20:G20)))*(1-'Element Constants'!$C$7/H20)^2+(F20/(SUM(B20:G20)))*(1-'Element Constants'!$C$8/H20)^2+(G20/(SUM(B20:G20)))*(1-'Element Constants'!$C$9/H20)^2)</x:f>
        <x:v>5.211121589479014</x:v>
      </x:c>
      <x:c r="K20" s="48" t="n">
        <x:f>(B20*'Element Constants'!$D$4+C20*'Element Constants'!$D$5+D20*'Element Constants'!$D$6+E20*'Element Constants'!$D$7+F20*'Element Constants'!$D$8+G20*'Element Constants'!$D$9)/(B20*'Element Constants'!$D$4/'Element Constants'!$E$4+C20*'Element Constants'!$D$5/'Element Constants'!$E$5+D20*'Element Constants'!$D$6/'Element Constants'!$E$6+E20*'Element Constants'!$D$7/'Element Constants'!$E$7+F20*'Element Constants'!$D$8/'Element Constants'!$E$8+G20*'Element Constants'!$D$9/'Element Constants'!$E$9)</x:f>
        <x:v>6.576744141217828</x:v>
      </x:c>
      <x:c r="L20" s="48" t="n">
        <x:v>645.5666666666667</x:v>
      </x:c>
      <x:c r="M20" s="48" t="b">
        <x:f>L20&gt;=450</x:f>
        <x:v>1</x:v>
      </x:c>
      <x:c r="N20" s="48" t="n">
        <x:f>L20/K20</x:f>
        <x:v>98.15900585530851</x:v>
      </x:c>
      <x:c r="O20" s="48" t="n">
        <x:f>(B20*'Element Constants'!$D$4*'Element Constants'!$F$4+C20*'Element Constants'!$D$5*'Element Constants'!$F$5+D20*'Element Constants'!$D$6*'Element Constants'!$F$6+E20*'Element Constants'!$D$7*'Element Constants'!$F$7+F20*'Element Constants'!$D$8*'Element Constants'!$F$8+G20*'Element Constants'!$D$9*'Element Constants'!$F$9)/(B20*'Element Constants'!$D$4+C20*'Element Constants'!$D$5+D20*'Element Constants'!$D$6+E20*'Element Constants'!$D$7+F20*'Element Constants'!$D$8+G20*'Element Constants'!$D$9)</x:f>
        <x:v>9.089421641322694</x:v>
      </x:c>
      <x:c r="P20" s="48" t="n">
        <x:f>O20/MIN($O$7:$O$21)</x:f>
        <x:v>2.9947359788531345</x:v>
      </x:c>
      <x:c r="Q20" s="30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0" t="str">
        <x:v>O</x:v>
      </x:c>
      <x:c r="B21" s="48" t="n">
        <x:v>37.5</x:v>
      </x:c>
      <x:c r="C21" s="48" t="n">
        <x:v>12.5</x:v>
      </x:c>
      <x:c r="D21" s="48" t="n">
        <x:v>12.5</x:v>
      </x:c>
      <x:c r="E21" s="48" t="n">
        <x:v>12.5</x:v>
      </x:c>
      <x:c r="F21" s="48" t="n">
        <x:v>12.5</x:v>
      </x:c>
      <x:c r="G21" s="48" t="n">
        <x:v>12.5</x:v>
      </x:c>
      <x:c r="H21" s="48" t="n">
        <x:f>(B21*'Element Constants'!$C$4+C21*'Element Constants'!$C$5+D21*'Element Constants'!$C$6+E21*'Element Constants'!$C$7+F21*'Element Constants'!$C$8+G21*'Element Constants'!$C$9)/(SUM(B21:G21))</x:f>
        <x:v>132.5</x:v>
      </x:c>
      <x:c r="I21" s="48" t="n">
        <x:f>(B21*'Element Constants'!$B$4+C21*'Element Constants'!$B$5+D21*'Element Constants'!$B$6+E21*'Element Constants'!$B$7+F21*'Element Constants'!$B$8+G21*'Element Constants'!$B$9)/(SUM(B21:G21))</x:f>
        <x:v>6.625</x:v>
      </x:c>
      <x:c r="J21" s="48" t="n">
        <x:f>100*SQRT((B21/(SUM(B21:G21)))*(1-'Element Constants'!$C$4/H21)^2+(C21/(SUM(B21:G21)))*(1-'Element Constants'!$C$5/H21)^2+(D21/(SUM(B21:G21)))*(1-'Element Constants'!$C$6/H21)^2+(E21/(SUM(B21:G21)))*(1-'Element Constants'!$C$7/H21)^2+(F21/(SUM(B21:G21)))*(1-'Element Constants'!$C$8/H21)^2+(G21/(SUM(B21:G21)))*(1-'Element Constants'!$C$9/H21)^2)</x:f>
        <x:v>6.2121047672280465</x:v>
      </x:c>
      <x:c r="K21" s="48" t="n">
        <x:f>(B21*'Element Constants'!$D$4+C21*'Element Constants'!$D$5+D21*'Element Constants'!$D$6+E21*'Element Constants'!$D$7+F21*'Element Constants'!$D$8+G21*'Element Constants'!$D$9)/(B21*'Element Constants'!$D$4/'Element Constants'!$E$4+C21*'Element Constants'!$D$5/'Element Constants'!$E$5+D21*'Element Constants'!$D$6/'Element Constants'!$E$6+E21*'Element Constants'!$D$7/'Element Constants'!$E$7+F21*'Element Constants'!$D$8/'Element Constants'!$E$8+G21*'Element Constants'!$D$9/'Element Constants'!$E$9)</x:f>
        <x:v>5.726354420939877</x:v>
      </x:c>
      <x:c r="L21" s="48" t="n">
        <x:v>676.9166666666666</x:v>
      </x:c>
      <x:c r="M21" s="48" t="b">
        <x:f>L21&gt;=450</x:f>
        <x:v>1</x:v>
      </x:c>
      <x:c r="N21" s="48" t="n">
        <x:f>L21/K21</x:f>
        <x:v>118.2107527594429</x:v>
      </x:c>
      <x:c r="O21" s="48" t="n">
        <x:f>(B21*'Element Constants'!$D$4*'Element Constants'!$F$4+C21*'Element Constants'!$D$5*'Element Constants'!$F$5+D21*'Element Constants'!$D$6*'Element Constants'!$F$6+E21*'Element Constants'!$D$7*'Element Constants'!$F$7+F21*'Element Constants'!$D$8*'Element Constants'!$F$8+G21*'Element Constants'!$D$9*'Element Constants'!$F$9)/(B21*'Element Constants'!$D$4+C21*'Element Constants'!$D$5+D21*'Element Constants'!$D$6+E21*'Element Constants'!$D$7+F21*'Element Constants'!$D$8+G21*'Element Constants'!$D$9)</x:f>
        <x:v>7.882934477462587</x:v>
      </x:c>
      <x:c r="P21" s="48" t="n">
        <x:f>O21/MIN($O$7:$O$21)</x:f>
        <x:v>2.597228782002427</x:v>
      </x:c>
      <x:c r="Q21" s="30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Q1"/>
    <x:mergeCell ref="A3:Q4"/>
  </x:mergeCells>
  <x:conditionalFormatting sqref="M7:M21">
    <x:cfRule type="expression" dxfId="0" priority="1">
      <x:formula>M7=TRUE</x:formula>
    </x:cfRule>
    <x:cfRule type="expression" dxfId="1" priority="2">
      <x:formula>M7=FALSE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45" hidden="0" customWidth="1"/>
  </x:cols>
  <x:sheetData>
    <x:row r="1">
      <x:c r="A1" s="7" t="str">
        <x:v>Stage 3 — Experimental check and final recommendation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15" t="str">
        <x:v>Measured Vickers hardness is now revealed. Compare it with the ML prediction, identify any false passes/fails, and make a final recommendation using measured hardness, density and relative cost. Explain the trade-off you chose.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4" t="str">
        <x:v>Candidate</x:v>
      </x:c>
      <x:c r="B6" s="24" t="str">
        <x:v>ML hardness</x:v>
      </x:c>
      <x:c r="C6" s="24" t="str">
        <x:v>Experimental hardness</x:v>
      </x:c>
      <x:c r="D6" s="24" t="str">
        <x:v>ML error (HV)</x:v>
      </x:c>
      <x:c r="E6" s="24" t="str">
        <x:v>ML pass ≥450?</x:v>
      </x:c>
      <x:c r="F6" s="24" t="str">
        <x:v>Experimental pass ≥450?</x:v>
      </x:c>
      <x:c r="G6" s="24" t="str">
        <x:v>Density</x:v>
      </x:c>
      <x:c r="H6" s="24" t="str">
        <x:v>Experimental specific hardness</x:v>
      </x:c>
      <x:c r="I6" s="24" t="str">
        <x:v>Relative cost index</x:v>
      </x:c>
      <x:c r="J6" s="24" t="str">
        <x:v>False pass/fail?</x:v>
      </x:c>
      <x:c r="K6" s="24" t="str">
        <x:v>Final choice?</x:v>
      </x:c>
      <x:c r="L6" s="24" t="str">
        <x:v>Final rank</x:v>
      </x:c>
      <x:c r="M6" s="24" t="str">
        <x:v>Justification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0" t="str">
        <x:v>A</x:v>
      </x:c>
      <x:c r="B7" s="48" t="n">
        <x:v>143.79</x:v>
      </x:c>
      <x:c r="C7" s="48" t="n">
        <x:v>118</x:v>
      </x:c>
      <x:c r="D7" s="48" t="n">
        <x:f>B7-C7</x:f>
        <x:v>25.789999999999992</x:v>
      </x:c>
      <x:c r="E7" s="48" t="b">
        <x:f>B7&gt;=450</x:f>
        <x:v>0</x:v>
      </x:c>
      <x:c r="F7" s="48" t="b">
        <x:f>C7&gt;=450</x:f>
        <x:v>0</x:v>
      </x:c>
      <x:c r="G7" s="48" t="n">
        <x:v>7.999345382769965</x:v>
      </x:c>
      <x:c r="H7" s="48" t="n">
        <x:f>C7/G7</x:f>
        <x:v>14.751207049287284</x:v>
      </x:c>
      <x:c r="I7" s="48" t="n">
        <x:f>'Stage 2 - ML Reveal'!P7</x:f>
        <x:v>3.251695541949492</x:v>
      </x:c>
      <x:c r="J7" s="30" t="str">
        <x:f>IF(AND(E7=TRUE,F7=FALSE),"False pass",IF(AND(E7=FALSE,F7=TRUE),"False fail","Consistent"))</x:f>
        <x:v>Consistent</x:v>
      </x:c>
      <x:c r="K7" s="30"/>
      <x:c r="L7" s="30"/>
      <x:c r="M7" s="30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0" t="str">
        <x:v>B</x:v>
      </x:c>
      <x:c r="B8" s="48" t="n">
        <x:v>147.28333333333333</x:v>
      </x:c>
      <x:c r="C8" s="48" t="n">
        <x:v>146</x:v>
      </x:c>
      <x:c r="D8" s="48" t="n">
        <x:f>B8-C8</x:f>
        <x:v>1.2833333333333314</x:v>
      </x:c>
      <x:c r="E8" s="48" t="b">
        <x:f>B8&gt;=450</x:f>
        <x:v>0</x:v>
      </x:c>
      <x:c r="F8" s="48" t="b">
        <x:f>C8&gt;=450</x:f>
        <x:v>0</x:v>
      </x:c>
      <x:c r="G8" s="48" t="n">
        <x:v>8.248053890208654</x:v>
      </x:c>
      <x:c r="H8" s="48" t="n">
        <x:f>C8/G8</x:f>
        <x:v>17.70114525722462</x:v>
      </x:c>
      <x:c r="I8" s="48" t="n">
        <x:f>'Stage 2 - ML Reveal'!P8</x:f>
        <x:v>2.1615092394543742</x:v>
      </x:c>
      <x:c r="J8" s="30" t="str">
        <x:f>IF(AND(E8=TRUE,F8=FALSE),"False pass",IF(AND(E8=FALSE,F8=TRUE),"False fail","Consistent"))</x:f>
        <x:v>Consistent</x:v>
      </x:c>
      <x:c r="K8" s="30"/>
      <x:c r="L8" s="30"/>
      <x:c r="M8" s="30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0" t="str">
        <x:v>C</x:v>
      </x:c>
      <x:c r="B9" s="48" t="n">
        <x:v>163.7</x:v>
      </x:c>
      <x:c r="C9" s="48" t="n">
        <x:v>155</x:v>
      </x:c>
      <x:c r="D9" s="48" t="n">
        <x:f>B9-C9</x:f>
        <x:v>8.699999999999989</x:v>
      </x:c>
      <x:c r="E9" s="48" t="b">
        <x:f>B9&gt;=450</x:f>
        <x:v>0</x:v>
      </x:c>
      <x:c r="F9" s="48" t="b">
        <x:f>C9&gt;=450</x:f>
        <x:v>0</x:v>
      </x:c>
      <x:c r="G9" s="48" t="n">
        <x:v>8.346534417621772</x:v>
      </x:c>
      <x:c r="H9" s="48" t="n">
        <x:f>C9/G9</x:f>
        <x:v>18.570581782153013</x:v>
      </x:c>
      <x:c r="I9" s="48" t="n">
        <x:f>'Stage 2 - ML Reveal'!P9</x:f>
        <x:v>3.1400854996428773</x:v>
      </x:c>
      <x:c r="J9" s="30" t="str">
        <x:f>IF(AND(E9=TRUE,F9=FALSE),"False pass",IF(AND(E9=FALSE,F9=TRUE),"False fail","Consistent"))</x:f>
        <x:v>Consistent</x:v>
      </x:c>
      <x:c r="K9" s="30"/>
      <x:c r="L9" s="30"/>
      <x:c r="M9" s="30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0" t="str">
        <x:v>D</x:v>
      </x:c>
      <x:c r="B10" s="48" t="n">
        <x:v>294.25666666666666</x:v>
      </x:c>
      <x:c r="C10" s="48" t="n">
        <x:v>265</x:v>
      </x:c>
      <x:c r="D10" s="48" t="n">
        <x:f>B10-C10</x:f>
        <x:v>29.25666666666666</x:v>
      </x:c>
      <x:c r="E10" s="48" t="b">
        <x:f>B10&gt;=450</x:f>
        <x:v>0</x:v>
      </x:c>
      <x:c r="F10" s="48" t="b">
        <x:f>C10&gt;=450</x:f>
        <x:v>0</x:v>
      </x:c>
      <x:c r="G10" s="48" t="n">
        <x:v>7.181649885946388</x:v>
      </x:c>
      <x:c r="H10" s="48" t="n">
        <x:f>C10/G10</x:f>
        <x:v>36.89959886774383</x:v>
      </x:c>
      <x:c r="I10" s="48" t="n">
        <x:f>'Stage 2 - ML Reveal'!P10</x:f>
        <x:v>3.0775789537522176</x:v>
      </x:c>
      <x:c r="J10" s="30" t="str">
        <x:f>IF(AND(E10=TRUE,F10=FALSE),"False pass",IF(AND(E10=FALSE,F10=TRUE),"False fail","Consistent"))</x:f>
        <x:v>Consistent</x:v>
      </x:c>
      <x:c r="K10" s="30"/>
      <x:c r="L10" s="30"/>
      <x:c r="M10" s="30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0" t="str">
        <x:v>E</x:v>
      </x:c>
      <x:c r="B11" s="48" t="n">
        <x:v>278.51</x:v>
      </x:c>
      <x:c r="C11" s="48" t="n">
        <x:v>278</x:v>
      </x:c>
      <x:c r="D11" s="48" t="n">
        <x:f>B11-C11</x:f>
        <x:v>0.5099999999999909</x:v>
      </x:c>
      <x:c r="E11" s="48" t="b">
        <x:f>B11&gt;=450</x:f>
        <x:v>0</x:v>
      </x:c>
      <x:c r="F11" s="48" t="b">
        <x:f>C11&gt;=450</x:f>
        <x:v>0</x:v>
      </x:c>
      <x:c r="G11" s="48" t="n">
        <x:v>7.514669457107665</x:v>
      </x:c>
      <x:c r="H11" s="48" t="n">
        <x:f>C11/G11</x:f>
        <x:v>36.99430847714224</x:v>
      </x:c>
      <x:c r="I11" s="48" t="n">
        <x:f>'Stage 2 - ML Reveal'!P11</x:f>
        <x:v>2.052141281504538</x:v>
      </x:c>
      <x:c r="J11" s="30" t="str">
        <x:f>IF(AND(E11=TRUE,F11=FALSE),"False pass",IF(AND(E11=FALSE,F11=TRUE),"False fail","Consistent"))</x:f>
        <x:v>Consistent</x:v>
      </x:c>
      <x:c r="K11" s="30"/>
      <x:c r="L11" s="30"/>
      <x:c r="M11" s="30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0" t="str">
        <x:v>F</x:v>
      </x:c>
      <x:c r="B12" s="48" t="n">
        <x:v>296.5</x:v>
      </x:c>
      <x:c r="C12" s="48" t="n">
        <x:v>304</x:v>
      </x:c>
      <x:c r="D12" s="48" t="n">
        <x:f>B12-C12</x:f>
        <x:v>-7.5</x:v>
      </x:c>
      <x:c r="E12" s="48" t="b">
        <x:f>B12&gt;=450</x:f>
        <x:v>0</x:v>
      </x:c>
      <x:c r="F12" s="48" t="b">
        <x:f>C12&gt;=450</x:f>
        <x:v>0</x:v>
      </x:c>
      <x:c r="G12" s="48" t="n">
        <x:v>7.3575517754894255</x:v>
      </x:c>
      <x:c r="H12" s="48" t="n">
        <x:f>C12/G12</x:f>
        <x:v>41.31809184309517</x:v>
      </x:c>
      <x:c r="I12" s="48" t="n">
        <x:f>'Stage 2 - ML Reveal'!P12</x:f>
        <x:v>1</x:v>
      </x:c>
      <x:c r="J12" s="30" t="str">
        <x:f>IF(AND(E12=TRUE,F12=FALSE),"False pass",IF(AND(E12=FALSE,F12=TRUE),"False fail","Consistent"))</x:f>
        <x:v>Consistent</x:v>
      </x:c>
      <x:c r="K12" s="30"/>
      <x:c r="L12" s="30"/>
      <x:c r="M12" s="30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0" t="str">
        <x:v>G</x:v>
      </x:c>
      <x:c r="B13" s="48" t="n">
        <x:v>346.17</x:v>
      </x:c>
      <x:c r="C13" s="48" t="n">
        <x:v>366</x:v>
      </x:c>
      <x:c r="D13" s="48" t="n">
        <x:f>B13-C13</x:f>
        <x:v>-19.829999999999984</x:v>
      </x:c>
      <x:c r="E13" s="48" t="b">
        <x:f>B13&gt;=450</x:f>
        <x:v>0</x:v>
      </x:c>
      <x:c r="F13" s="48" t="b">
        <x:f>C13&gt;=450</x:f>
        <x:v>0</x:v>
      </x:c>
      <x:c r="G13" s="48" t="n">
        <x:v>7.210624555947105</x:v>
      </x:c>
      <x:c r="H13" s="48" t="n">
        <x:f>C13/G13</x:f>
        <x:v>50.758432526920885</x:v>
      </x:c>
      <x:c r="I13" s="48" t="n">
        <x:f>'Stage 2 - ML Reveal'!P13</x:f>
        <x:v>3.8341491453255814</x:v>
      </x:c>
      <x:c r="J13" s="30" t="str">
        <x:f>IF(AND(E13=TRUE,F13=FALSE),"False pass",IF(AND(E13=FALSE,F13=TRUE),"False fail","Consistent"))</x:f>
        <x:v>Consistent</x:v>
      </x:c>
      <x:c r="K13" s="30"/>
      <x:c r="L13" s="30"/>
      <x:c r="M13" s="30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0" t="str">
        <x:v>H</x:v>
      </x:c>
      <x:c r="B14" s="48" t="n">
        <x:v>469.63</x:v>
      </x:c>
      <x:c r="C14" s="48" t="n">
        <x:v>380</x:v>
      </x:c>
      <x:c r="D14" s="48" t="n">
        <x:f>B14-C14</x:f>
        <x:v>89.63</x:v>
      </x:c>
      <x:c r="E14" s="48" t="b">
        <x:f>B14&gt;=450</x:f>
        <x:v>1</x:v>
      </x:c>
      <x:c r="F14" s="48" t="b">
        <x:f>C14&gt;=450</x:f>
        <x:v>0</x:v>
      </x:c>
      <x:c r="G14" s="48" t="n">
        <x:v>6.969907641485768</x:v>
      </x:c>
      <x:c r="H14" s="48" t="n">
        <x:f>C14/G14</x:f>
        <x:v>54.520091161350855</x:v>
      </x:c>
      <x:c r="I14" s="48" t="n">
        <x:f>'Stage 2 - ML Reveal'!P14</x:f>
        <x:v>3.6684925732766898</x:v>
      </x:c>
      <x:c r="J14" s="30" t="str">
        <x:f>IF(AND(E14=TRUE,F14=FALSE),"False pass",IF(AND(E14=FALSE,F14=TRUE),"False fail","Consistent"))</x:f>
        <x:v>False pass</x:v>
      </x:c>
      <x:c r="K14" s="30"/>
      <x:c r="L14" s="30"/>
      <x:c r="M14" s="30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0" t="str">
        <x:v>I</x:v>
      </x:c>
      <x:c r="B15" s="48" t="n">
        <x:v>470.0733333333333</x:v>
      </x:c>
      <x:c r="C15" s="48" t="n">
        <x:v>441</x:v>
      </x:c>
      <x:c r="D15" s="48" t="n">
        <x:f>B15-C15</x:f>
        <x:v>29.073333333333323</x:v>
      </x:c>
      <x:c r="E15" s="48" t="b">
        <x:f>B15&gt;=450</x:f>
        <x:v>1</x:v>
      </x:c>
      <x:c r="F15" s="48" t="b">
        <x:f>C15&gt;=450</x:f>
        <x:v>0</x:v>
      </x:c>
      <x:c r="G15" s="48" t="n">
        <x:v>7.424443624842021</x:v>
      </x:c>
      <x:c r="H15" s="48" t="n">
        <x:f>C15/G15</x:f>
        <x:v>59.398390274582184</x:v>
      </x:c>
      <x:c r="I15" s="48" t="n">
        <x:f>'Stage 2 - ML Reveal'!P15</x:f>
        <x:v>1.9956579749496464</x:v>
      </x:c>
      <x:c r="J15" s="30" t="str">
        <x:f>IF(AND(E15=TRUE,F15=FALSE),"False pass",IF(AND(E15=FALSE,F15=TRUE),"False fail","Consistent"))</x:f>
        <x:v>False pass</x:v>
      </x:c>
      <x:c r="K15" s="30"/>
      <x:c r="L15" s="30"/>
      <x:c r="M15" s="30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0" t="str">
        <x:v>J</x:v>
      </x:c>
      <x:c r="B16" s="48" t="n">
        <x:v>502.37666666666667</x:v>
      </x:c>
      <x:c r="C16" s="48" t="n">
        <x:v>475</x:v>
      </x:c>
      <x:c r="D16" s="48" t="n">
        <x:f>B16-C16</x:f>
        <x:v>27.376666666666665</x:v>
      </x:c>
      <x:c r="E16" s="48" t="b">
        <x:f>B16&gt;=450</x:f>
        <x:v>1</x:v>
      </x:c>
      <x:c r="F16" s="48" t="b">
        <x:f>C16&gt;=450</x:f>
        <x:v>1</x:v>
      </x:c>
      <x:c r="G16" s="48" t="n">
        <x:v>6.8098462282292695</x:v>
      </x:c>
      <x:c r="H16" s="48" t="n">
        <x:f>C16/G16</x:f>
        <x:v>69.75194212623387</x:v>
      </x:c>
      <x:c r="I16" s="48" t="n">
        <x:f>'Stage 2 - ML Reveal'!P16</x:f>
        <x:v>2.872365533115989</x:v>
      </x:c>
      <x:c r="J16" s="30" t="str">
        <x:f>IF(AND(E16=TRUE,F16=FALSE),"False pass",IF(AND(E16=FALSE,F16=TRUE),"False fail","Consistent"))</x:f>
        <x:v>Consistent</x:v>
      </x:c>
      <x:c r="K16" s="30"/>
      <x:c r="L16" s="30"/>
      <x:c r="M16" s="30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0" t="str">
        <x:v>K</x:v>
      </x:c>
      <x:c r="B17" s="48" t="n">
        <x:v>535.14</x:v>
      </x:c>
      <x:c r="C17" s="48" t="n">
        <x:v>516</x:v>
      </x:c>
      <x:c r="D17" s="48" t="n">
        <x:f>B17-C17</x:f>
        <x:v>19.139999999999986</x:v>
      </x:c>
      <x:c r="E17" s="48" t="b">
        <x:f>B17&gt;=450</x:f>
        <x:v>1</x:v>
      </x:c>
      <x:c r="F17" s="48" t="b">
        <x:f>C17&gt;=450</x:f>
        <x:v>1</x:v>
      </x:c>
      <x:c r="G17" s="48" t="n">
        <x:v>6.72700045200041</x:v>
      </x:c>
      <x:c r="H17" s="48" t="n">
        <x:f>C17/G17</x:f>
        <x:v>76.7058072437853</x:v>
      </x:c>
      <x:c r="I17" s="48" t="n">
        <x:f>'Stage 2 - ML Reveal'!P17</x:f>
        <x:v>3.001842358800805</x:v>
      </x:c>
      <x:c r="J17" s="30" t="str">
        <x:f>IF(AND(E17=TRUE,F17=FALSE),"False pass",IF(AND(E17=FALSE,F17=TRUE),"False fail","Consistent"))</x:f>
        <x:v>Consistent</x:v>
      </x:c>
      <x:c r="K17" s="30"/>
      <x:c r="L17" s="30"/>
      <x:c r="M17" s="30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0" t="str">
        <x:v>L</x:v>
      </x:c>
      <x:c r="B18" s="48" t="n">
        <x:v>543.2133333333334</x:v>
      </x:c>
      <x:c r="C18" s="48" t="n">
        <x:v>573</x:v>
      </x:c>
      <x:c r="D18" s="48" t="n">
        <x:f>B18-C18</x:f>
        <x:v>-29.786666666666633</x:v>
      </x:c>
      <x:c r="E18" s="48" t="b">
        <x:f>B18&gt;=450</x:f>
        <x:v>1</x:v>
      </x:c>
      <x:c r="F18" s="48" t="b">
        <x:f>C18&gt;=450</x:f>
        <x:v>1</x:v>
      </x:c>
      <x:c r="G18" s="48" t="n">
        <x:v>6.292684660492192</x:v>
      </x:c>
      <x:c r="H18" s="48" t="n">
        <x:f>C18/G18</x:f>
        <x:v>91.05811444795677</x:v>
      </x:c>
      <x:c r="I18" s="48" t="n">
        <x:f>'Stage 2 - ML Reveal'!P18</x:f>
        <x:v>1.6587216441015395</x:v>
      </x:c>
      <x:c r="J18" s="30" t="str">
        <x:f>IF(AND(E18=TRUE,F18=FALSE),"False pass",IF(AND(E18=FALSE,F18=TRUE),"False fail","Consistent"))</x:f>
        <x:v>Consistent</x:v>
      </x:c>
      <x:c r="K18" s="30"/>
      <x:c r="L18" s="30"/>
      <x:c r="M18" s="30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0" t="str">
        <x:v>M</x:v>
      </x:c>
      <x:c r="B19" s="48" t="n">
        <x:v>614.14</x:v>
      </x:c>
      <x:c r="C19" s="48" t="n">
        <x:v>665</x:v>
      </x:c>
      <x:c r="D19" s="48" t="n">
        <x:f>B19-C19</x:f>
        <x:v>-50.860000000000014</x:v>
      </x:c>
      <x:c r="E19" s="48" t="b">
        <x:f>B19&gt;=450</x:f>
        <x:v>1</x:v>
      </x:c>
      <x:c r="F19" s="48" t="b">
        <x:f>C19&gt;=450</x:f>
        <x:v>1</x:v>
      </x:c>
      <x:c r="G19" s="48" t="n">
        <x:v>6.525722327105926</x:v>
      </x:c>
      <x:c r="H19" s="48" t="n">
        <x:f>C19/G19</x:f>
        <x:v>101.90442784207751</x:v>
      </x:c>
      <x:c r="I19" s="48" t="n">
        <x:f>'Stage 2 - ML Reveal'!P19</x:f>
        <x:v>3.567685858877971</x:v>
      </x:c>
      <x:c r="J19" s="30" t="str">
        <x:f>IF(AND(E19=TRUE,F19=FALSE),"False pass",IF(AND(E19=FALSE,F19=TRUE),"False fail","Consistent"))</x:f>
        <x:v>Consistent</x:v>
      </x:c>
      <x:c r="K19" s="30"/>
      <x:c r="L19" s="30"/>
      <x:c r="M19" s="30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0" t="str">
        <x:v>N</x:v>
      </x:c>
      <x:c r="B20" s="48" t="n">
        <x:v>645.5666666666667</x:v>
      </x:c>
      <x:c r="C20" s="48" t="n">
        <x:v>695</x:v>
      </x:c>
      <x:c r="D20" s="48" t="n">
        <x:f>B20-C20</x:f>
        <x:v>-49.43333333333328</x:v>
      </x:c>
      <x:c r="E20" s="48" t="b">
        <x:f>B20&gt;=450</x:f>
        <x:v>1</x:v>
      </x:c>
      <x:c r="F20" s="48" t="b">
        <x:f>C20&gt;=450</x:f>
        <x:v>1</x:v>
      </x:c>
      <x:c r="G20" s="48" t="n">
        <x:v>6.576744141217827</x:v>
      </x:c>
      <x:c r="H20" s="48" t="n">
        <x:f>C20/G20</x:f>
        <x:v>105.67538968777727</x:v>
      </x:c>
      <x:c r="I20" s="48" t="n">
        <x:f>'Stage 2 - ML Reveal'!P20</x:f>
        <x:v>2.9947359788531345</x:v>
      </x:c>
      <x:c r="J20" s="30" t="str">
        <x:f>IF(AND(E20=TRUE,F20=FALSE),"False pass",IF(AND(E20=FALSE,F20=TRUE),"False fail","Consistent"))</x:f>
        <x:v>Consistent</x:v>
      </x:c>
      <x:c r="K20" s="30"/>
      <x:c r="L20" s="30"/>
      <x:c r="M20" s="30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0" t="str">
        <x:v>O</x:v>
      </x:c>
      <x:c r="B21" s="48" t="n">
        <x:v>676.9166666666666</x:v>
      </x:c>
      <x:c r="C21" s="48" t="n">
        <x:v>735</x:v>
      </x:c>
      <x:c r="D21" s="48" t="n">
        <x:f>B21-C21</x:f>
        <x:v>-58.08333333333337</x:v>
      </x:c>
      <x:c r="E21" s="48" t="b">
        <x:f>B21&gt;=450</x:f>
        <x:v>1</x:v>
      </x:c>
      <x:c r="F21" s="48" t="b">
        <x:f>C21&gt;=450</x:f>
        <x:v>1</x:v>
      </x:c>
      <x:c r="G21" s="48" t="n">
        <x:v>5.726354420939877</x:v>
      </x:c>
      <x:c r="H21" s="48" t="n">
        <x:f>C21/G21</x:f>
        <x:v>128.35391349726535</x:v>
      </x:c>
      <x:c r="I21" s="48" t="n">
        <x:f>'Stage 2 - ML Reveal'!P21</x:f>
        <x:v>2.597228782002427</x:v>
      </x:c>
      <x:c r="J21" s="30" t="str">
        <x:f>IF(AND(E21=TRUE,F21=FALSE),"False pass",IF(AND(E21=FALSE,F21=TRUE),"False fail","Consistent"))</x:f>
        <x:v>Consistent</x:v>
      </x:c>
      <x:c r="K21" s="30"/>
      <x:c r="L21" s="30"/>
      <x:c r="M21" s="30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M1"/>
    <x:mergeCell ref="A3:M4"/>
  </x:mergeCells>
  <x:conditionalFormatting sqref="F7:F21">
    <x:cfRule type="expression" dxfId="2" priority="1">
      <x:formula>F7=TRUE</x:formula>
    </x:cfRule>
    <x:cfRule type="expression" dxfId="3" priority="2">
      <x:formula>F7=FALSE</x:formula>
    </x:cfRule>
  </x:conditionalFormatting>
  <x:conditionalFormatting sqref="J7:J21">
    <x:cfRule type="expression" dxfId="4" priority="3">
      <x:formula>J7="False pass"</x:formula>
    </x:cfRule>
    <x:cfRule type="expression" dxfId="5" priority="4">
      <x:formula>J7="False fail"</x:formula>
    </x:cfRule>
  </x:conditionalFormatting>
  <x:dataValidations count="1">
    <x:dataValidation type="list" sqref="K7:K21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</x:cols>
  <x:sheetData>
    <x:row r="1">
      <x:c r="A1" s="7" t="str">
        <x:v>Model validation — instructor reference</x:v>
      </x:c>
      <x:c r="B1" s="7"/>
      <x:c r="C1" s="7"/>
      <x:c r="D1" s="7"/>
      <x:c r="E1" s="7"/>
      <x:c r="F1" s="7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4" t="str">
        <x:v>Model</x:v>
      </x:c>
      <x:c r="B3" s="24" t="str">
        <x:v>CV MAE (HV)</x:v>
      </x:c>
      <x:c r="C3" s="24" t="str">
        <x:v>CV RMSE (HV)</x:v>
      </x:c>
      <x:c r="D3" s="24" t="str">
        <x:v>CV R²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ExtraTrees</x:v>
      </x:c>
      <x:c r="B4" s="46" t="n">
        <x:v>36.87270967741936</x:v>
      </x:c>
      <x:c r="C4" s="46" t="n">
        <x:v>53.19505921016311</x:v>
      </x:c>
      <x:c r="D4" s="46" t="n">
        <x:v>0.9191316268585827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RBF_SVR</x:v>
      </x:c>
      <x:c r="B5" s="46" t="n">
        <x:v>45.31491981157291</x:v>
      </x:c>
      <x:c r="C5" s="46" t="n">
        <x:v>60.35830781409403</x:v>
      </x:c>
      <x:c r="D5" s="46" t="n">
        <x:v>0.895885738211267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RandomForest</x:v>
      </x:c>
      <x:c r="B6" s="46" t="n">
        <x:v>47.757440860215056</x:v>
      </x:c>
      <x:c r="C6" s="46" t="n">
        <x:v>65.49140583909741</x:v>
      </x:c>
      <x:c r="D6" s="46" t="n">
        <x:v>0.877424199183586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GradientBoosting</x:v>
      </x:c>
      <x:c r="B7" s="46" t="n">
        <x:v>52.542770819492624</x:v>
      </x:c>
      <x:c r="C7" s="46" t="n">
        <x:v>70.44985345043865</x:v>
      </x:c>
      <x:c r="D7" s="46" t="n">
        <x:v>0.8581607908425273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MLP</x:v>
      </x:c>
      <x:c r="B8" s="46" t="n">
        <x:v>87.14779650239473</x:v>
      </x:c>
      <x:c r="C8" s="46" t="n">
        <x:v>125.24282835536823</x:v>
      </x:c>
      <x:c r="D8" s="46" t="n">
        <x:v>0.5517277587441289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46"/>
      <x:c r="C9" s="46"/>
      <x:c r="D9" s="46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46"/>
      <x:c r="C10" s="46"/>
      <x:c r="D10" s="46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46"/>
      <x:c r="C11" s="46"/>
      <x:c r="D11" s="46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4" t="str">
        <x:v>Classroom 15-alloy holdout</x:v>
      </x:c>
      <x:c r="B12" s="52"/>
      <x:c r="C12" s="52"/>
      <x:c r="D12" s="52"/>
      <x:c r="E12" s="34"/>
      <x:c r="F12" s="34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46"/>
      <x:c r="C13" s="46"/>
      <x:c r="D13" s="46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4" t="str">
        <x:v>Model</x:v>
      </x:c>
      <x:c r="B14" s="60" t="str">
        <x:v>Train n</x:v>
      </x:c>
      <x:c r="C14" s="60" t="str">
        <x:v>Test n</x:v>
      </x:c>
      <x:c r="D14" s="60" t="str">
        <x:v>MAE (HV)</x:v>
      </x:c>
      <x:c r="E14" s="24" t="str">
        <x:v>RMSE (HV)</x:v>
      </x:c>
      <x:c r="F14" s="24" t="str">
        <x:v>R²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ExtraTrees</x:v>
      </x:c>
      <x:c r="B15" s="46" t="n">
        <x:v>140</x:v>
      </x:c>
      <x:c r="C15" s="46" t="n">
        <x:v>15</x:v>
      </x:c>
      <x:c r="D15" s="46" t="n">
        <x:v>29.750222222222213</x:v>
      </x:c>
      <x:c r="E15" s="46" t="n">
        <x:v>37.71302413795039</x:v>
      </x:c>
      <x:c r="F15" s="46" t="n">
        <x:v>0.9623920404296433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46"/>
      <x:c r="C16" s="46"/>
      <x:c r="D16" s="46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46"/>
      <x:c r="C17" s="46"/>
      <x:c r="D17" s="46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15" t="str">
        <x:v>Interpretation: use the 10-fold cross-validation result as the more general performance estimate. The 15-alloy holdout describes this particular classroom set. The two deliberate false passes around the 450-HV threshold are pedagogically valuable because they show that a good average model can still make consequential individual errors.</x:v>
      </x:c>
      <x:c r="B18" s="69"/>
      <x:c r="C18" s="69"/>
      <x:c r="D18" s="69"/>
      <x:c r="E18" s="15"/>
      <x:c r="F18" s="15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15"/>
      <x:c r="B19" s="69"/>
      <x:c r="C19" s="69"/>
      <x:c r="D19" s="69"/>
      <x:c r="E19" s="15"/>
      <x:c r="F19" s="15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15"/>
      <x:c r="B20" s="69"/>
      <x:c r="C20" s="69"/>
      <x:c r="D20" s="69"/>
      <x:c r="E20" s="15"/>
      <x:c r="F20" s="15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15"/>
      <x:c r="B21" s="15"/>
      <x:c r="C21" s="15"/>
      <x:c r="D21" s="15"/>
      <x:c r="E21" s="15"/>
      <x:c r="F21" s="15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F1"/>
    <x:mergeCell ref="A12:F12"/>
    <x:mergeCell ref="A18:F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78" hidden="0" customWidth="1"/>
  </x:cols>
  <x:sheetData>
    <x:row r="1">
      <x:c r="A1" s="7" t="str">
        <x:v>Instructor notes — useful discussion points</x:v>
      </x:c>
      <x:c r="B1" s="7"/>
      <x:c r="C1" s="7"/>
      <x:c r="D1" s="7"/>
      <x:c r="E1" s="7"/>
      <x:c r="F1" s="7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4" t="str">
        <x:v>#</x:v>
      </x:c>
      <x:c r="B3" s="24" t="str">
        <x:v>Point</x:v>
      </x:c>
      <x:c r="C3" s="24" t="str">
        <x:v>What to emphasize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0" t="str">
        <x:v>1</x:v>
      </x:c>
      <x:c r="B4" s="30" t="str">
        <x:v>Why ML is legitimate here</x:v>
      </x:c>
      <x:c r="C4" s="30" t="str">
        <x:v>There is no reliable closed-form hardness-from-composition equation for this multicomponent system. The ML model is learning an empirical composition→property mapping from experiments.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0" t="str">
        <x:v>2</x:v>
      </x:c>
      <x:c r="B5" s="30" t="str">
        <x:v>Why descriptors still matter</x:v>
      </x:c>
      <x:c r="C5" s="30" t="str">
        <x:v>VEC and δ are used for physical interpretation, not as substitute hardness equations. Density directly enters the selection decision.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0" t="str">
        <x:v>3</x:v>
      </x:c>
      <x:c r="B6" s="30" t="str">
        <x:v>Consequence of prediction error</x:v>
      </x:c>
      <x:c r="C6" s="30" t="str">
        <x:v>Candidates H and I are predicted just above the 450-HV screen but experimentally fall below it. This creates two false passes and demonstrates why predictions need validation.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0" t="str">
        <x:v>4</x:v>
      </x:c>
      <x:c r="B7" s="30" t="str">
        <x:v>Cost trade-off</x:v>
      </x:c>
      <x:c r="C7" s="30" t="str">
        <x:v>The cost index strongly penalizes Co/Ni/Cu-rich alloys. Students can legitimately prefer a slightly softer but cheaper candidate if it still meets the hardness requirement.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0" t="str">
        <x:v>5</x:v>
      </x:c>
      <x:c r="B8" s="30" t="str">
        <x:v>No universal winner</x:v>
      </x:c>
      <x:c r="C8" s="30" t="str">
        <x:v>After the experimental reveal, J–O meet the 450-HV requirement. Their hardness, density and cost trade-offs differ, so final answers should be judged on justification rather than a single preset winner.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0" t="str">
        <x:v>6</x:v>
      </x:c>
      <x:c r="B9" s="30" t="str">
        <x:v>Scope</x:v>
      </x:c>
      <x:c r="C9" s="30" t="str">
        <x:v>Do not extrapolate the model beyond the Al–Co–Cr–Cu–Fe–Ni as-cast domain. Processing and microstructure are held implicit by the dataset design.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  <x:col min="3" max="3" width="52" hidden="0" customWidth="1"/>
  </x:cols>
  <x:sheetData>
    <x:row r="1">
      <x:c r="A1" s="7" t="str">
        <x:v>Sources and scientific scope</x:v>
      </x:c>
      <x:c r="B1" s="7"/>
      <x:c r="C1" s="7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4" t="str">
        <x:v>Item</x:v>
      </x:c>
      <x:c r="B3" s="24" t="str">
        <x:v>Source / statement</x:v>
      </x:c>
      <x:c r="C3" s="24" t="str">
        <x:v>URL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0" t="str">
        <x:v>Primary dataset/paper</x:v>
      </x:c>
      <x:c r="B4" s="30" t="str">
        <x:v>Wen et al., Machine learning assisted design of high entropy alloys with desired property, Acta Materialia 170 (2019) 109–117.</x:v>
      </x:c>
      <x:c r="C4" s="30" t="str">
        <x:v>https://doi.org/10.1016/j.actamat.2019.03.010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0" t="str">
        <x:v>Independent hardness-ML validation</x:v>
      </x:c>
      <x:c r="B5" s="30" t="str">
        <x:v>2025 study using the same 155 Al–Co–Cr–Cu–Fe–Ni compositions; reports strong hardness prediction from composition.</x:v>
      </x:c>
      <x:c r="C5" s="30" t="str">
        <x:v>https://doi.org/10.3390/cryst15050404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0" t="str">
        <x:v>Hardness meaning</x:v>
      </x:c>
      <x:c r="B6" s="30" t="str">
        <x:v>Hardness is used here as resistance to localized plastic deformation/indentation. It is not treated as a complete wear or toughness metric.</x:v>
      </x:c>
      <x:c r="C6" s="30" t="str">
        <x:v>https://www.nature.com/articles/s41524-022-00842-3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0" t="str">
        <x:v>ML scope</x:v>
      </x:c>
      <x:c r="B7" s="30" t="str">
        <x:v>The model is only intended for interpolation within this six-element, as-cast alloy family. It should not be presented as a universal hardness model.</x:v>
      </x:c>
      <x:c r="C7" s="30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0" t="str">
        <x:v>Cost model</x:v>
      </x:c>
      <x:c r="B8" s="30" t="str">
        <x:v>Relative elemental cost weights are deliberately pedagogical, not market prices. They can later be replaced with supplier-specific values.</x:v>
      </x:c>
      <x:c r="C8" s="30" t="str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C1"/>
  </x:mergeCells>
  <x:pageMargins left="0.7" right="0.7" top="0.75" bottom="0.75" header="0.3" footer="0.3"/>
</x:worksheet>
</file>